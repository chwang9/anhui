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webextension1.xml" ContentType="application/vnd.ms-office.webextension+xml"/>
  <Override PartName="/xl/webextensions/webextension2.xml" ContentType="application/vnd.ms-office.webextensi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erson\document\安徽-ok\anhui\"/>
    </mc:Choice>
  </mc:AlternateContent>
  <bookViews>
    <workbookView xWindow="0" yWindow="945" windowWidth="23040" windowHeight="11415" activeTab="1"/>
  </bookViews>
  <sheets>
    <sheet name="全国" sheetId="3" r:id="rId1"/>
    <sheet name="重点省份" sheetId="2" r:id="rId2"/>
    <sheet name="安徽" sheetId="1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3" l="1"/>
  <c r="B29" i="3"/>
  <c r="B23" i="3"/>
  <c r="B20" i="3"/>
  <c r="B19" i="3"/>
  <c r="B18" i="3"/>
  <c r="C3" i="3"/>
  <c r="C29" i="3"/>
  <c r="C23" i="3"/>
  <c r="C20" i="3"/>
  <c r="C19" i="3"/>
  <c r="C18" i="3"/>
  <c r="D3" i="3"/>
  <c r="E3" i="3"/>
  <c r="D29" i="3"/>
  <c r="D23" i="3"/>
  <c r="D20" i="3"/>
  <c r="D19" i="3"/>
  <c r="D18" i="3"/>
  <c r="E23" i="3"/>
  <c r="E29" i="3"/>
  <c r="E20" i="3"/>
  <c r="E19" i="3"/>
  <c r="E18" i="3"/>
  <c r="F3" i="3"/>
  <c r="F29" i="3"/>
  <c r="F23" i="3"/>
  <c r="F20" i="3"/>
  <c r="F19" i="3"/>
  <c r="F18" i="3"/>
  <c r="G3" i="3"/>
  <c r="H3" i="3"/>
  <c r="G29" i="3"/>
  <c r="G23" i="3"/>
  <c r="G20" i="3"/>
  <c r="G19" i="3"/>
  <c r="G18" i="3"/>
  <c r="H23" i="3"/>
  <c r="H20" i="3"/>
  <c r="H19" i="3"/>
  <c r="H18" i="3"/>
  <c r="H29" i="3"/>
  <c r="I3" i="3"/>
  <c r="I29" i="3"/>
  <c r="I23" i="3"/>
  <c r="I20" i="3"/>
  <c r="I19" i="3"/>
  <c r="I18" i="3"/>
  <c r="J3" i="3"/>
  <c r="K3" i="3"/>
  <c r="K29" i="3"/>
  <c r="J23" i="3"/>
  <c r="K23" i="3"/>
  <c r="K20" i="3"/>
  <c r="K19" i="3"/>
  <c r="K18" i="3"/>
  <c r="J29" i="3"/>
  <c r="J20" i="3"/>
  <c r="J19" i="3"/>
  <c r="J18" i="3"/>
  <c r="L3" i="3"/>
  <c r="L29" i="3"/>
  <c r="L23" i="3"/>
  <c r="L20" i="3"/>
  <c r="L19" i="3"/>
  <c r="L18" i="3"/>
  <c r="N3" i="3"/>
  <c r="M3" i="3"/>
  <c r="M29" i="3"/>
  <c r="M23" i="3"/>
  <c r="M20" i="3"/>
  <c r="M19" i="3"/>
  <c r="M18" i="3"/>
  <c r="N29" i="3" l="1"/>
  <c r="O29" i="3"/>
  <c r="N23" i="3"/>
  <c r="N20" i="3"/>
  <c r="N19" i="3"/>
  <c r="N18" i="3"/>
  <c r="O11" i="3" l="1"/>
  <c r="O3" i="3"/>
  <c r="O23" i="3"/>
  <c r="O20" i="3"/>
  <c r="O19" i="3"/>
  <c r="O18" i="3"/>
  <c r="P11" i="3" l="1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P3" i="3"/>
  <c r="P29" i="3"/>
  <c r="P23" i="3"/>
  <c r="P20" i="3"/>
  <c r="P19" i="3"/>
  <c r="P18" i="3"/>
  <c r="Q3" i="3" l="1"/>
  <c r="Q29" i="3"/>
  <c r="Q23" i="3"/>
  <c r="Q20" i="3"/>
  <c r="Q19" i="3"/>
  <c r="Q18" i="3"/>
  <c r="R3" i="3" l="1"/>
  <c r="R29" i="3"/>
  <c r="R23" i="3"/>
  <c r="R20" i="3"/>
  <c r="R19" i="3"/>
  <c r="R18" i="3"/>
  <c r="S3" i="3"/>
  <c r="S29" i="3"/>
  <c r="S23" i="3"/>
  <c r="S20" i="3"/>
  <c r="S19" i="3"/>
  <c r="S18" i="3"/>
  <c r="T3" i="3" l="1"/>
  <c r="T29" i="3"/>
  <c r="T23" i="3"/>
  <c r="T20" i="3"/>
  <c r="T19" i="3"/>
  <c r="T18" i="3"/>
  <c r="U3" i="3" l="1"/>
  <c r="U29" i="3"/>
  <c r="U23" i="3"/>
  <c r="U18" i="3"/>
  <c r="U20" i="3"/>
  <c r="U19" i="3"/>
  <c r="V3" i="3" l="1"/>
  <c r="V29" i="3"/>
  <c r="V23" i="3"/>
  <c r="V20" i="3"/>
  <c r="V19" i="3"/>
  <c r="V18" i="3"/>
  <c r="W3" i="3"/>
  <c r="W29" i="3"/>
  <c r="W23" i="3"/>
  <c r="W20" i="3"/>
  <c r="W19" i="3"/>
  <c r="W18" i="3"/>
  <c r="X3" i="3"/>
  <c r="X29" i="3"/>
  <c r="X23" i="3"/>
  <c r="Y23" i="3"/>
  <c r="X20" i="3"/>
  <c r="X19" i="3"/>
  <c r="X18" i="3"/>
  <c r="Y3" i="3" l="1"/>
  <c r="Y29" i="3"/>
  <c r="Y20" i="3"/>
  <c r="Y19" i="3"/>
  <c r="Y18" i="3"/>
  <c r="Z3" i="3"/>
  <c r="Z29" i="3"/>
  <c r="Z23" i="3"/>
  <c r="Z20" i="3"/>
  <c r="Z19" i="3"/>
  <c r="Z18" i="3"/>
  <c r="AA3" i="3"/>
  <c r="AA29" i="3"/>
  <c r="AA23" i="3"/>
  <c r="AA20" i="3"/>
  <c r="AA19" i="3"/>
  <c r="AA18" i="3"/>
  <c r="AB3" i="3"/>
  <c r="AB29" i="3"/>
  <c r="AB23" i="3"/>
  <c r="AB20" i="3"/>
  <c r="AB19" i="3"/>
  <c r="AB18" i="3"/>
  <c r="AC3" i="3"/>
  <c r="AC29" i="3"/>
  <c r="AC23" i="3"/>
  <c r="AC20" i="3"/>
  <c r="AC19" i="3"/>
  <c r="AC18" i="3"/>
  <c r="AD3" i="3" l="1"/>
  <c r="AD29" i="3"/>
  <c r="AD23" i="3"/>
  <c r="AD20" i="3"/>
  <c r="AD19" i="3"/>
  <c r="AD18" i="3"/>
  <c r="AE3" i="3"/>
  <c r="AE29" i="3"/>
  <c r="AE23" i="3"/>
  <c r="AE20" i="3"/>
  <c r="AE19" i="3"/>
  <c r="AE18" i="3"/>
  <c r="AF3" i="3" l="1"/>
  <c r="AF29" i="3"/>
  <c r="AF23" i="3"/>
  <c r="AF20" i="3"/>
  <c r="AF19" i="3"/>
  <c r="AF18" i="3"/>
  <c r="AG3" i="3"/>
  <c r="AG29" i="3"/>
  <c r="AG23" i="3"/>
  <c r="AG20" i="3"/>
  <c r="AG19" i="3"/>
  <c r="AG18" i="3"/>
  <c r="AH3" i="3" l="1"/>
  <c r="AH29" i="3"/>
  <c r="AH23" i="3"/>
  <c r="AH20" i="3"/>
  <c r="AH19" i="3"/>
  <c r="AH18" i="3"/>
  <c r="AI3" i="3"/>
  <c r="AI29" i="3"/>
  <c r="AI23" i="3"/>
  <c r="AI20" i="3"/>
  <c r="AI19" i="3"/>
  <c r="AI18" i="3"/>
  <c r="AJ3" i="3"/>
  <c r="AJ29" i="3"/>
  <c r="AK11" i="3"/>
  <c r="AJ11" i="3"/>
  <c r="AJ23" i="3"/>
  <c r="AJ20" i="3"/>
  <c r="AJ19" i="3"/>
  <c r="AJ18" i="3"/>
  <c r="AK3" i="3" l="1"/>
  <c r="AK29" i="3"/>
  <c r="AK23" i="3"/>
  <c r="AK20" i="3"/>
  <c r="AK19" i="3"/>
  <c r="AK18" i="3"/>
  <c r="AL3" i="3"/>
  <c r="AL29" i="3"/>
  <c r="AL23" i="3"/>
  <c r="AL20" i="3"/>
  <c r="AL19" i="3"/>
  <c r="AL18" i="3"/>
  <c r="AL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DQ11" i="3"/>
  <c r="DR11" i="3"/>
  <c r="DS11" i="3"/>
  <c r="DT11" i="3"/>
  <c r="DU11" i="3"/>
  <c r="DV11" i="3"/>
  <c r="DW11" i="3"/>
  <c r="DX11" i="3"/>
  <c r="DY11" i="3"/>
  <c r="DZ11" i="3"/>
  <c r="EA11" i="3"/>
  <c r="EB11" i="3"/>
  <c r="EC11" i="3"/>
  <c r="ED11" i="3"/>
  <c r="EE11" i="3"/>
  <c r="EF11" i="3"/>
  <c r="EG11" i="3"/>
  <c r="EH11" i="3"/>
  <c r="EI11" i="3"/>
  <c r="EJ11" i="3"/>
  <c r="EK11" i="3"/>
  <c r="EL11" i="3"/>
  <c r="EM11" i="3"/>
  <c r="EN11" i="3"/>
  <c r="EO11" i="3"/>
  <c r="EP11" i="3"/>
  <c r="EQ11" i="3"/>
  <c r="ER11" i="3"/>
  <c r="ES11" i="3"/>
  <c r="ET11" i="3"/>
  <c r="EU11" i="3"/>
  <c r="EV11" i="3"/>
  <c r="EW11" i="3"/>
  <c r="EX11" i="3"/>
  <c r="EY11" i="3"/>
  <c r="EZ11" i="3"/>
  <c r="FA11" i="3"/>
  <c r="FB11" i="3"/>
  <c r="FC11" i="3"/>
  <c r="FD11" i="3"/>
  <c r="FE11" i="3"/>
  <c r="FF11" i="3"/>
  <c r="FG11" i="3"/>
  <c r="FH11" i="3"/>
  <c r="FI11" i="3"/>
  <c r="FJ11" i="3"/>
  <c r="FK11" i="3"/>
  <c r="FL11" i="3"/>
  <c r="FM11" i="3"/>
  <c r="FN11" i="3"/>
  <c r="FO11" i="3"/>
  <c r="FP11" i="3"/>
  <c r="FQ11" i="3"/>
  <c r="FR11" i="3"/>
  <c r="FS11" i="3"/>
  <c r="FT11" i="3"/>
  <c r="FU11" i="3"/>
  <c r="FV11" i="3"/>
  <c r="FW11" i="3"/>
  <c r="AM11" i="3"/>
  <c r="AM3" i="3"/>
  <c r="AM29" i="3"/>
  <c r="AM23" i="3"/>
  <c r="AM20" i="3"/>
  <c r="AM19" i="3"/>
  <c r="AM18" i="3"/>
  <c r="AN3" i="3"/>
  <c r="AN29" i="3"/>
  <c r="AN23" i="3"/>
  <c r="AN20" i="3"/>
  <c r="AN19" i="3"/>
  <c r="AN18" i="3"/>
  <c r="AO3" i="3"/>
  <c r="AO29" i="3"/>
  <c r="AO23" i="3"/>
  <c r="AO20" i="3"/>
  <c r="AO19" i="3"/>
  <c r="AO18" i="3"/>
  <c r="AP3" i="3"/>
  <c r="AP29" i="3"/>
  <c r="AP23" i="3"/>
  <c r="AP20" i="3"/>
  <c r="AP19" i="3"/>
  <c r="AP18" i="3"/>
  <c r="AQ3" i="3" l="1"/>
  <c r="AQ29" i="3"/>
  <c r="AQ23" i="3"/>
  <c r="AQ20" i="3"/>
  <c r="AQ19" i="3"/>
  <c r="AQ18" i="3"/>
  <c r="AR3" i="3"/>
  <c r="AR29" i="3"/>
  <c r="AR23" i="3"/>
  <c r="AR20" i="3"/>
  <c r="AR19" i="3"/>
  <c r="AR18" i="3"/>
  <c r="AS3" i="3" l="1"/>
  <c r="AS29" i="3"/>
  <c r="AS23" i="3"/>
  <c r="AS20" i="3"/>
  <c r="AS19" i="3"/>
  <c r="AS18" i="3"/>
  <c r="AT3" i="3" l="1"/>
  <c r="AT29" i="3"/>
  <c r="AT23" i="3"/>
  <c r="AU23" i="3"/>
  <c r="AV23" i="3"/>
  <c r="AT20" i="3"/>
  <c r="AT19" i="3"/>
  <c r="AT18" i="3"/>
  <c r="AU3" i="3" l="1"/>
  <c r="AU29" i="3"/>
  <c r="AU20" i="3"/>
  <c r="AU19" i="3"/>
  <c r="AU18" i="3"/>
  <c r="AV3" i="3"/>
  <c r="AV29" i="3"/>
  <c r="AW29" i="3"/>
  <c r="AX29" i="3"/>
  <c r="AV20" i="3"/>
  <c r="AV19" i="3"/>
  <c r="AV18" i="3"/>
  <c r="AW3" i="3" l="1"/>
  <c r="AW23" i="3"/>
  <c r="AW20" i="3"/>
  <c r="AW19" i="3"/>
  <c r="AW18" i="3"/>
  <c r="AX3" i="3" l="1"/>
  <c r="AX23" i="3"/>
  <c r="AX20" i="3"/>
  <c r="AX19" i="3"/>
  <c r="AX18" i="3"/>
  <c r="AY3" i="3" l="1"/>
  <c r="AY29" i="3"/>
  <c r="AY23" i="3"/>
  <c r="AY20" i="3"/>
  <c r="AY19" i="3"/>
  <c r="AY18" i="3"/>
  <c r="AZ3" i="3"/>
  <c r="AZ29" i="3"/>
  <c r="AZ23" i="3"/>
  <c r="AZ20" i="3"/>
  <c r="AZ19" i="3"/>
  <c r="AZ18" i="3"/>
  <c r="BA3" i="3" l="1"/>
  <c r="BA29" i="3"/>
  <c r="BA23" i="3"/>
  <c r="BA20" i="3"/>
  <c r="BA19" i="3"/>
  <c r="BA18" i="3"/>
  <c r="BB29" i="3"/>
  <c r="BB23" i="3"/>
  <c r="BB3" i="3"/>
  <c r="BC3" i="3"/>
  <c r="BB20" i="3"/>
  <c r="BB19" i="3"/>
  <c r="BB18" i="3"/>
  <c r="BC29" i="3"/>
  <c r="BD29" i="3"/>
  <c r="BC23" i="3"/>
  <c r="BC20" i="3"/>
  <c r="BC19" i="3"/>
  <c r="BC18" i="3"/>
  <c r="BD3" i="3" l="1"/>
  <c r="BD23" i="3"/>
  <c r="BD20" i="3"/>
  <c r="BD19" i="3"/>
  <c r="BD18" i="3"/>
  <c r="BE3" i="3"/>
  <c r="BE29" i="3"/>
  <c r="BE23" i="3"/>
  <c r="BF23" i="3"/>
  <c r="BE20" i="3"/>
  <c r="BE19" i="3"/>
  <c r="BE18" i="3"/>
  <c r="BF3" i="3" l="1"/>
  <c r="BF29" i="3"/>
  <c r="BF20" i="3"/>
  <c r="BF19" i="3"/>
  <c r="BF18" i="3"/>
  <c r="BG3" i="3" l="1"/>
  <c r="BG29" i="3"/>
  <c r="BH29" i="3"/>
  <c r="BG23" i="3"/>
  <c r="BG20" i="3"/>
  <c r="BG19" i="3"/>
  <c r="BG18" i="3"/>
  <c r="BH3" i="3"/>
  <c r="BH23" i="3"/>
  <c r="BH20" i="3"/>
  <c r="BH19" i="3"/>
  <c r="BH18" i="3"/>
  <c r="BI3" i="3"/>
  <c r="BI29" i="3"/>
  <c r="BI23" i="3"/>
  <c r="BI20" i="3"/>
  <c r="BI19" i="3"/>
  <c r="BI18" i="3"/>
  <c r="BJ3" i="3"/>
  <c r="BJ29" i="3"/>
  <c r="BJ23" i="3"/>
  <c r="BJ20" i="3"/>
  <c r="BJ19" i="3"/>
  <c r="BJ18" i="3"/>
  <c r="BK3" i="3" l="1"/>
  <c r="BK29" i="3"/>
  <c r="BK23" i="3"/>
  <c r="BK20" i="3"/>
  <c r="BK19" i="3"/>
  <c r="BK18" i="3"/>
  <c r="BL3" i="3"/>
  <c r="BL29" i="3"/>
  <c r="BL23" i="3"/>
  <c r="BL20" i="3"/>
  <c r="BL19" i="3"/>
  <c r="BL18" i="3"/>
  <c r="BM3" i="3"/>
  <c r="BM29" i="3"/>
  <c r="BM23" i="3"/>
  <c r="BM20" i="3"/>
  <c r="BM19" i="3"/>
  <c r="BM18" i="3"/>
  <c r="BN3" i="3"/>
  <c r="BN29" i="3"/>
  <c r="BN23" i="3"/>
  <c r="BN20" i="3"/>
  <c r="BN19" i="3"/>
  <c r="BN18" i="3"/>
  <c r="BO29" i="3"/>
  <c r="BO3" i="3"/>
  <c r="BO23" i="3"/>
  <c r="BP23" i="3"/>
  <c r="BQ23" i="3"/>
  <c r="BO20" i="3"/>
  <c r="BO19" i="3"/>
  <c r="BO18" i="3"/>
  <c r="BP3" i="3"/>
  <c r="BP29" i="3"/>
  <c r="BP20" i="3"/>
  <c r="BP19" i="3"/>
  <c r="BP18" i="3"/>
  <c r="BQ3" i="3" l="1"/>
  <c r="BQ29" i="3"/>
  <c r="BQ20" i="3"/>
  <c r="BQ19" i="3"/>
  <c r="BQ18" i="3"/>
  <c r="BR3" i="3" l="1"/>
  <c r="BR29" i="3"/>
  <c r="BR23" i="3"/>
  <c r="BR20" i="3"/>
  <c r="BR19" i="3"/>
  <c r="BR18" i="3"/>
  <c r="BS3" i="3"/>
  <c r="BS29" i="3"/>
  <c r="BS23" i="3"/>
  <c r="BS20" i="3"/>
  <c r="BS19" i="3"/>
  <c r="BS18" i="3"/>
  <c r="BT3" i="3" l="1"/>
  <c r="BT29" i="3"/>
  <c r="BT23" i="3"/>
  <c r="BT20" i="3"/>
  <c r="BT19" i="3"/>
  <c r="BT18" i="3"/>
  <c r="BU3" i="3" l="1"/>
  <c r="BU29" i="3"/>
  <c r="BU23" i="3"/>
  <c r="BU20" i="3"/>
  <c r="BU19" i="3"/>
  <c r="BU18" i="3"/>
  <c r="BV3" i="3"/>
  <c r="BV29" i="3"/>
  <c r="BV23" i="3"/>
  <c r="BV20" i="3"/>
  <c r="BV19" i="3"/>
  <c r="BV18" i="3"/>
  <c r="BW3" i="3" l="1"/>
  <c r="BW29" i="3"/>
  <c r="BW23" i="3"/>
  <c r="BW20" i="3"/>
  <c r="BW19" i="3"/>
  <c r="BW18" i="3"/>
  <c r="BX3" i="3"/>
  <c r="BX29" i="3"/>
  <c r="BX23" i="3"/>
  <c r="BX20" i="3"/>
  <c r="BX19" i="3"/>
  <c r="BX18" i="3"/>
  <c r="BY3" i="3"/>
  <c r="BY29" i="3"/>
  <c r="BY23" i="3"/>
  <c r="BY20" i="3"/>
  <c r="BY19" i="3"/>
  <c r="BY18" i="3"/>
  <c r="BZ3" i="3"/>
  <c r="BZ29" i="3"/>
  <c r="BZ23" i="3"/>
  <c r="BZ20" i="3"/>
  <c r="BZ19" i="3"/>
  <c r="BZ18" i="3"/>
  <c r="CA3" i="3"/>
  <c r="CA29" i="3"/>
  <c r="CA23" i="3"/>
  <c r="CA20" i="3"/>
  <c r="CA19" i="3"/>
  <c r="CA18" i="3"/>
  <c r="CB3" i="3"/>
  <c r="CB29" i="3"/>
  <c r="CB23" i="3"/>
  <c r="CB20" i="3"/>
  <c r="CB19" i="3"/>
  <c r="CB18" i="3"/>
  <c r="CC3" i="3" l="1"/>
  <c r="CC29" i="3"/>
  <c r="CC23" i="3"/>
  <c r="CC20" i="3"/>
  <c r="CC19" i="3"/>
  <c r="CC18" i="3"/>
  <c r="CD3" i="3"/>
  <c r="CD29" i="3"/>
  <c r="CD23" i="3"/>
  <c r="CD20" i="3"/>
  <c r="CD19" i="3"/>
  <c r="CD18" i="3"/>
  <c r="CE3" i="3"/>
  <c r="CE29" i="3"/>
  <c r="CE23" i="3"/>
  <c r="CE20" i="3"/>
  <c r="CE19" i="3"/>
  <c r="CE18" i="3"/>
  <c r="CF3" i="3"/>
  <c r="CF29" i="3"/>
  <c r="CF23" i="3"/>
  <c r="CF20" i="3"/>
  <c r="CF19" i="3"/>
  <c r="CF18" i="3"/>
  <c r="CG3" i="3" l="1"/>
  <c r="CG29" i="3"/>
  <c r="CG23" i="3"/>
  <c r="CG20" i="3"/>
  <c r="CG19" i="3"/>
  <c r="CG18" i="3"/>
  <c r="CH3" i="3"/>
  <c r="CH29" i="3"/>
  <c r="CH23" i="3"/>
  <c r="CH20" i="3"/>
  <c r="CH19" i="3"/>
  <c r="CH18" i="3"/>
  <c r="CI3" i="3"/>
  <c r="CI29" i="3"/>
  <c r="CI23" i="3"/>
  <c r="CI20" i="3"/>
  <c r="CI19" i="3"/>
  <c r="CI18" i="3"/>
  <c r="CJ3" i="3" l="1"/>
  <c r="CJ29" i="3"/>
  <c r="CJ23" i="3"/>
  <c r="CJ20" i="3"/>
  <c r="CJ19" i="3"/>
  <c r="CJ18" i="3"/>
  <c r="CK3" i="3"/>
  <c r="CK29" i="3"/>
  <c r="CK23" i="3"/>
  <c r="CK20" i="3"/>
  <c r="CK19" i="3"/>
  <c r="CK18" i="3"/>
  <c r="CL3" i="3" l="1"/>
  <c r="CL29" i="3"/>
  <c r="CL23" i="3"/>
  <c r="CL20" i="3"/>
  <c r="CL19" i="3"/>
  <c r="CL18" i="3"/>
  <c r="CM3" i="3" l="1"/>
  <c r="CM29" i="3"/>
  <c r="CM23" i="3"/>
  <c r="CM20" i="3"/>
  <c r="CM19" i="3"/>
  <c r="CM18" i="3"/>
  <c r="CN3" i="3"/>
  <c r="CN29" i="3"/>
  <c r="CN23" i="3"/>
  <c r="CN20" i="3"/>
  <c r="CN19" i="3"/>
  <c r="CN18" i="3"/>
  <c r="CO3" i="3"/>
  <c r="CO29" i="3"/>
  <c r="CO23" i="3"/>
  <c r="CO20" i="3"/>
  <c r="CO19" i="3"/>
  <c r="CO18" i="3"/>
  <c r="CP3" i="3"/>
  <c r="CP29" i="3"/>
  <c r="CP23" i="3"/>
  <c r="CP20" i="3"/>
  <c r="CP19" i="3"/>
  <c r="CP18" i="3"/>
  <c r="CQ3" i="3"/>
  <c r="CQ29" i="3"/>
  <c r="CQ23" i="3"/>
  <c r="CQ20" i="3"/>
  <c r="CQ19" i="3"/>
  <c r="CQ18" i="3"/>
  <c r="CR3" i="3"/>
  <c r="CR29" i="3"/>
  <c r="CR23" i="3"/>
  <c r="CR20" i="3"/>
  <c r="CR19" i="3"/>
  <c r="CR18" i="3"/>
  <c r="CS3" i="3"/>
  <c r="CS29" i="3"/>
  <c r="CS23" i="3"/>
  <c r="CS20" i="3"/>
  <c r="CS19" i="3"/>
  <c r="CS18" i="3"/>
  <c r="CT3" i="3"/>
  <c r="CT29" i="3"/>
  <c r="CT23" i="3"/>
  <c r="CT20" i="3"/>
  <c r="CT19" i="3"/>
  <c r="CT18" i="3"/>
  <c r="CU3" i="3" l="1"/>
  <c r="CU29" i="3"/>
  <c r="CU23" i="3"/>
  <c r="CU20" i="3"/>
  <c r="CU19" i="3"/>
  <c r="CU18" i="3"/>
  <c r="CV3" i="3" l="1"/>
  <c r="CV29" i="3"/>
  <c r="CV23" i="3"/>
  <c r="CV20" i="3"/>
  <c r="CV19" i="3"/>
  <c r="CV18" i="3"/>
  <c r="CW3" i="3"/>
  <c r="CW29" i="3"/>
  <c r="CW23" i="3"/>
  <c r="CW20" i="3"/>
  <c r="CW19" i="3"/>
  <c r="CW18" i="3"/>
  <c r="CX3" i="3"/>
  <c r="CX29" i="3"/>
  <c r="CX23" i="3"/>
  <c r="CX20" i="3"/>
  <c r="CX19" i="3"/>
  <c r="CX18" i="3"/>
  <c r="CY3" i="3"/>
  <c r="CY29" i="3"/>
  <c r="CY23" i="3"/>
  <c r="CY20" i="3"/>
  <c r="CY19" i="3"/>
  <c r="CY18" i="3"/>
  <c r="CZ3" i="3"/>
  <c r="CZ29" i="3"/>
  <c r="CZ23" i="3"/>
  <c r="CZ20" i="3"/>
  <c r="CZ19" i="3"/>
  <c r="CZ18" i="3"/>
  <c r="DA3" i="3" l="1"/>
  <c r="DA29" i="3"/>
  <c r="DA23" i="3"/>
  <c r="DA20" i="3"/>
  <c r="DA19" i="3"/>
  <c r="DA18" i="3"/>
  <c r="DB3" i="3"/>
  <c r="DB29" i="3"/>
  <c r="DB23" i="3"/>
  <c r="DB20" i="3"/>
  <c r="DB19" i="3"/>
  <c r="DB18" i="3"/>
  <c r="DC3" i="3"/>
  <c r="DC29" i="3"/>
  <c r="DC23" i="3"/>
  <c r="DC20" i="3"/>
  <c r="DC19" i="3"/>
  <c r="DC18" i="3"/>
  <c r="DD3" i="3"/>
  <c r="DD29" i="3"/>
  <c r="DD23" i="3"/>
  <c r="DD20" i="3"/>
  <c r="DD19" i="3"/>
  <c r="DD18" i="3"/>
  <c r="DE3" i="3"/>
  <c r="DE29" i="3"/>
  <c r="DE23" i="3"/>
  <c r="DE20" i="3"/>
  <c r="DE19" i="3"/>
  <c r="DE18" i="3"/>
  <c r="DF3" i="3" l="1"/>
  <c r="DF29" i="3"/>
  <c r="DF23" i="3"/>
  <c r="DF20" i="3"/>
  <c r="DF19" i="3"/>
  <c r="DF18" i="3"/>
  <c r="DG3" i="3" l="1"/>
  <c r="DG29" i="3"/>
  <c r="DG23" i="3"/>
  <c r="DG20" i="3"/>
  <c r="DG19" i="3"/>
  <c r="DG18" i="3"/>
  <c r="DH3" i="3"/>
  <c r="DH29" i="3"/>
  <c r="DH23" i="3"/>
  <c r="DH20" i="3"/>
  <c r="DH19" i="3"/>
  <c r="DH18" i="3"/>
  <c r="DI3" i="3"/>
  <c r="DI29" i="3"/>
  <c r="DI23" i="3"/>
  <c r="DI20" i="3"/>
  <c r="DI19" i="3"/>
  <c r="DI18" i="3"/>
  <c r="DJ3" i="3" l="1"/>
  <c r="DJ29" i="3"/>
  <c r="DJ23" i="3"/>
  <c r="DJ20" i="3"/>
  <c r="DJ19" i="3"/>
  <c r="DJ18" i="3"/>
  <c r="DK3" i="3" l="1"/>
  <c r="DK29" i="3"/>
  <c r="DK23" i="3"/>
  <c r="DK20" i="3"/>
  <c r="DK19" i="3"/>
  <c r="DK18" i="3"/>
  <c r="DL3" i="3" l="1"/>
  <c r="DL29" i="3"/>
  <c r="DL23" i="3"/>
  <c r="DL20" i="3"/>
  <c r="DL19" i="3"/>
  <c r="DL18" i="3"/>
  <c r="DM3" i="3" l="1"/>
  <c r="DM29" i="3"/>
  <c r="DM23" i="3"/>
  <c r="DM20" i="3"/>
  <c r="DM19" i="3"/>
  <c r="DM18" i="3"/>
  <c r="DN3" i="3" l="1"/>
  <c r="DN29" i="3"/>
  <c r="DN23" i="3"/>
  <c r="DN18" i="3"/>
  <c r="DN19" i="3"/>
  <c r="DN20" i="3"/>
  <c r="DO3" i="3"/>
  <c r="DO29" i="3"/>
  <c r="DO23" i="3"/>
  <c r="DO18" i="3"/>
  <c r="DO19" i="3"/>
  <c r="DO20" i="3"/>
  <c r="DP3" i="3"/>
  <c r="DP29" i="3"/>
  <c r="DP23" i="3"/>
  <c r="DP20" i="3"/>
  <c r="DP19" i="3"/>
  <c r="DP18" i="3"/>
  <c r="DQ3" i="3"/>
  <c r="DR3" i="3"/>
  <c r="DQ29" i="3"/>
  <c r="DQ23" i="3"/>
  <c r="DQ20" i="3"/>
  <c r="DQ19" i="3"/>
  <c r="DQ18" i="3"/>
  <c r="DR20" i="3"/>
  <c r="DR19" i="3"/>
  <c r="DR18" i="3"/>
  <c r="DR29" i="3"/>
  <c r="DR23" i="3"/>
  <c r="DS3" i="3" l="1"/>
  <c r="DS20" i="3"/>
  <c r="DS19" i="3"/>
  <c r="DS18" i="3"/>
  <c r="DS29" i="3"/>
  <c r="DS23" i="3"/>
  <c r="DT3" i="3"/>
  <c r="DT23" i="3"/>
  <c r="DT20" i="3"/>
  <c r="DT19" i="3"/>
  <c r="DT18" i="3"/>
  <c r="DT29" i="3"/>
  <c r="DU3" i="3"/>
  <c r="DU26" i="3"/>
  <c r="DU23" i="3"/>
  <c r="DU20" i="3"/>
  <c r="DU19" i="3"/>
  <c r="DU18" i="3"/>
  <c r="DU29" i="3"/>
  <c r="DV3" i="3"/>
  <c r="DV26" i="3"/>
  <c r="DV23" i="3"/>
  <c r="DV20" i="3"/>
  <c r="DV19" i="3"/>
  <c r="DV18" i="3"/>
  <c r="DV29" i="3"/>
  <c r="DW3" i="3"/>
  <c r="DW26" i="3"/>
  <c r="DW23" i="3"/>
  <c r="DW20" i="3"/>
  <c r="DW19" i="3"/>
  <c r="DW18" i="3"/>
  <c r="DW29" i="3"/>
  <c r="DX3" i="3" l="1"/>
  <c r="DY3" i="3"/>
  <c r="DZ3" i="3"/>
  <c r="EA3" i="3"/>
  <c r="EB3" i="3"/>
  <c r="EC3" i="3"/>
  <c r="ED3" i="3"/>
  <c r="EE3" i="3"/>
  <c r="EF3" i="3"/>
  <c r="EG3" i="3"/>
  <c r="EH3" i="3"/>
  <c r="EI3" i="3"/>
  <c r="EJ3" i="3"/>
  <c r="EK3" i="3"/>
  <c r="EL3" i="3"/>
  <c r="EM3" i="3"/>
  <c r="EN3" i="3"/>
  <c r="EO3" i="3"/>
  <c r="DX26" i="3"/>
  <c r="DX23" i="3"/>
  <c r="DX20" i="3"/>
  <c r="DX19" i="3"/>
  <c r="DX18" i="3"/>
  <c r="DX29" i="3"/>
  <c r="DY26" i="3"/>
  <c r="DY20" i="3"/>
  <c r="DY19" i="3"/>
  <c r="DY18" i="3"/>
  <c r="DY29" i="3"/>
  <c r="DY23" i="3"/>
  <c r="DZ26" i="3" l="1"/>
  <c r="EA26" i="3"/>
  <c r="DZ29" i="3"/>
  <c r="DZ23" i="3"/>
  <c r="DZ20" i="3"/>
  <c r="DZ19" i="3"/>
  <c r="DZ18" i="3"/>
  <c r="EA20" i="3"/>
  <c r="EA19" i="3"/>
  <c r="EA18" i="3"/>
  <c r="EA29" i="3"/>
  <c r="EA23" i="3"/>
  <c r="EB20" i="3" l="1"/>
  <c r="EB19" i="3"/>
  <c r="EB18" i="3"/>
  <c r="EB26" i="3"/>
  <c r="EB29" i="3"/>
  <c r="EB23" i="3"/>
  <c r="EC20" i="3"/>
  <c r="EC19" i="3"/>
  <c r="EC18" i="3"/>
  <c r="EC26" i="3"/>
  <c r="EC29" i="3"/>
  <c r="EC23" i="3"/>
  <c r="ED29" i="3" l="1"/>
  <c r="ED26" i="3"/>
  <c r="ED23" i="3"/>
  <c r="ED20" i="3"/>
  <c r="ED19" i="3"/>
  <c r="ED18" i="3"/>
  <c r="EE29" i="3" l="1"/>
  <c r="EE26" i="3"/>
  <c r="EE23" i="3"/>
  <c r="EE20" i="3"/>
  <c r="EE19" i="3"/>
  <c r="EE18" i="3"/>
  <c r="EF26" i="3"/>
  <c r="EF23" i="3"/>
  <c r="EF29" i="3"/>
  <c r="EF20" i="3"/>
  <c r="EF19" i="3"/>
  <c r="EF18" i="3"/>
  <c r="EG26" i="3"/>
  <c r="EG23" i="3"/>
  <c r="EG20" i="3"/>
  <c r="EG19" i="3"/>
  <c r="EG18" i="3"/>
  <c r="EG29" i="3"/>
  <c r="EH26" i="3"/>
  <c r="EH23" i="3"/>
  <c r="EH20" i="3"/>
  <c r="EH19" i="3"/>
  <c r="EH18" i="3"/>
  <c r="EH29" i="3"/>
  <c r="EI29" i="3"/>
  <c r="EI26" i="3"/>
  <c r="EI23" i="3"/>
  <c r="EI20" i="3"/>
  <c r="EI19" i="3"/>
  <c r="EI18" i="3"/>
  <c r="EJ26" i="3"/>
  <c r="EJ23" i="3"/>
  <c r="EJ20" i="3"/>
  <c r="EJ19" i="3"/>
  <c r="EJ18" i="3"/>
  <c r="EJ29" i="3"/>
  <c r="EK26" i="3"/>
  <c r="EK23" i="3"/>
  <c r="EK20" i="3"/>
  <c r="EK19" i="3"/>
  <c r="EK18" i="3"/>
  <c r="EK29" i="3"/>
  <c r="EL26" i="3"/>
  <c r="EL23" i="3"/>
  <c r="EL20" i="3"/>
  <c r="EL19" i="3"/>
  <c r="EL18" i="3"/>
  <c r="EL29" i="3"/>
  <c r="EM26" i="3"/>
  <c r="EM29" i="3"/>
  <c r="EM23" i="3"/>
  <c r="EM20" i="3"/>
  <c r="EM19" i="3"/>
  <c r="EM18" i="3"/>
  <c r="EN29" i="3"/>
  <c r="EN26" i="3"/>
  <c r="EN23" i="3"/>
  <c r="EN20" i="3"/>
  <c r="EN19" i="3"/>
  <c r="EN18" i="3"/>
  <c r="EO26" i="3"/>
  <c r="EO23" i="3"/>
  <c r="EO29" i="3"/>
  <c r="EO20" i="3"/>
  <c r="EO19" i="3"/>
  <c r="EO18" i="3"/>
  <c r="EP3" i="3"/>
  <c r="EQ3" i="3"/>
  <c r="EP26" i="3"/>
  <c r="EP23" i="3"/>
  <c r="EQ23" i="3"/>
  <c r="EP20" i="3"/>
  <c r="EQ20" i="3"/>
  <c r="EP19" i="3"/>
  <c r="EP18" i="3"/>
  <c r="EQ18" i="3"/>
  <c r="EP29" i="3"/>
  <c r="EQ26" i="3"/>
  <c r="EQ19" i="3"/>
  <c r="EQ29" i="3"/>
  <c r="ER3" i="3"/>
  <c r="ER26" i="3"/>
  <c r="ER23" i="3"/>
  <c r="ER20" i="3"/>
  <c r="ER19" i="3"/>
  <c r="ER18" i="3"/>
  <c r="ER29" i="3"/>
  <c r="ES3" i="3"/>
  <c r="ES26" i="3"/>
  <c r="ES23" i="3"/>
  <c r="ES20" i="3"/>
  <c r="ES19" i="3"/>
  <c r="ES18" i="3"/>
  <c r="ES29" i="3"/>
  <c r="ET3" i="3"/>
  <c r="ET26" i="3"/>
  <c r="ET23" i="3"/>
  <c r="ET20" i="3"/>
  <c r="ET19" i="3"/>
  <c r="ET18" i="3"/>
  <c r="ET29" i="3"/>
  <c r="EU3" i="3"/>
  <c r="EU26" i="3"/>
  <c r="EU23" i="3"/>
  <c r="EU29" i="3"/>
  <c r="EU20" i="3"/>
  <c r="EU19" i="3"/>
  <c r="EU18" i="3"/>
  <c r="EV3" i="3"/>
  <c r="EV29" i="3"/>
  <c r="EV26" i="3"/>
  <c r="EV23" i="3"/>
  <c r="EV20" i="3"/>
  <c r="EV19" i="3"/>
  <c r="EV18" i="3"/>
  <c r="EW3" i="3" l="1"/>
  <c r="EW29" i="3"/>
  <c r="EW26" i="3"/>
  <c r="EW23" i="3"/>
  <c r="EW20" i="3"/>
  <c r="EW19" i="3"/>
  <c r="EW18" i="3"/>
  <c r="EX3" i="3"/>
  <c r="EX29" i="3"/>
  <c r="EX26" i="3"/>
  <c r="EX23" i="3"/>
  <c r="EX20" i="3"/>
  <c r="EX19" i="3"/>
  <c r="EX18" i="3"/>
  <c r="EY3" i="3"/>
  <c r="EY29" i="3"/>
  <c r="EY26" i="3"/>
  <c r="EY23" i="3"/>
  <c r="EY20" i="3"/>
  <c r="EY19" i="3"/>
  <c r="EY18" i="3"/>
  <c r="EZ3" i="3"/>
  <c r="EZ29" i="3"/>
  <c r="EZ26" i="3"/>
  <c r="EZ23" i="3"/>
  <c r="EZ20" i="3"/>
  <c r="EZ19" i="3"/>
  <c r="EZ18" i="3"/>
  <c r="FA3" i="3"/>
  <c r="FA29" i="3"/>
  <c r="FA26" i="3"/>
  <c r="FA23" i="3"/>
  <c r="FA20" i="3"/>
  <c r="FA19" i="3"/>
  <c r="FA18" i="3"/>
  <c r="FB3" i="3" l="1"/>
  <c r="FB26" i="3"/>
  <c r="FB23" i="3"/>
  <c r="FB20" i="3"/>
  <c r="FB19" i="3"/>
  <c r="FB18" i="3"/>
  <c r="FB29" i="3"/>
  <c r="FC3" i="3"/>
  <c r="FC29" i="3"/>
  <c r="FC26" i="3"/>
  <c r="FC23" i="3"/>
  <c r="FC20" i="3"/>
  <c r="FC19" i="3"/>
  <c r="FC18" i="3"/>
  <c r="B32" i="1" l="1"/>
  <c r="B31" i="1"/>
  <c r="B18" i="1"/>
  <c r="B30" i="1" s="1"/>
  <c r="C32" i="1"/>
  <c r="C31" i="1"/>
  <c r="C18" i="1"/>
  <c r="C29" i="1" s="1"/>
  <c r="D32" i="1"/>
  <c r="D31" i="1"/>
  <c r="D29" i="1"/>
  <c r="D18" i="1"/>
  <c r="D27" i="1" s="1"/>
  <c r="D28" i="1" s="1"/>
  <c r="E32" i="1"/>
  <c r="E31" i="1"/>
  <c r="E18" i="1"/>
  <c r="E29" i="1" s="1"/>
  <c r="F32" i="1"/>
  <c r="F31" i="1"/>
  <c r="F18" i="1"/>
  <c r="F30" i="1" s="1"/>
  <c r="G32" i="1"/>
  <c r="G31" i="1"/>
  <c r="G18" i="1"/>
  <c r="G30" i="1" s="1"/>
  <c r="H32" i="1"/>
  <c r="H31" i="1"/>
  <c r="H29" i="1"/>
  <c r="H18" i="1"/>
  <c r="H27" i="1" s="1"/>
  <c r="H28" i="1" s="1"/>
  <c r="FD3" i="3"/>
  <c r="FD29" i="3"/>
  <c r="FD26" i="3"/>
  <c r="FD23" i="3"/>
  <c r="FD20" i="3"/>
  <c r="FD19" i="3"/>
  <c r="FD18" i="3"/>
  <c r="FE3" i="3"/>
  <c r="FE29" i="3"/>
  <c r="FE26" i="3"/>
  <c r="FE23" i="3"/>
  <c r="FE20" i="3"/>
  <c r="FE19" i="3"/>
  <c r="FE18" i="3"/>
  <c r="FF3" i="3"/>
  <c r="FF29" i="3"/>
  <c r="FF26" i="3"/>
  <c r="FF23" i="3"/>
  <c r="FF20" i="3"/>
  <c r="FF19" i="3"/>
  <c r="FF18" i="3"/>
  <c r="FG3" i="3"/>
  <c r="FG29" i="3"/>
  <c r="FG26" i="3"/>
  <c r="FG23" i="3"/>
  <c r="FG20" i="3"/>
  <c r="FG19" i="3"/>
  <c r="FG18" i="3"/>
  <c r="FH3" i="3"/>
  <c r="FH29" i="3"/>
  <c r="FH26" i="3"/>
  <c r="FH23" i="3"/>
  <c r="FH20" i="3"/>
  <c r="FH19" i="3"/>
  <c r="FH18" i="3"/>
  <c r="FI3" i="3"/>
  <c r="FI29" i="3"/>
  <c r="FI26" i="3"/>
  <c r="FI23" i="3"/>
  <c r="FI20" i="3"/>
  <c r="FI19" i="3"/>
  <c r="FI18" i="3"/>
  <c r="FJ3" i="3"/>
  <c r="FJ26" i="3"/>
  <c r="FJ23" i="3"/>
  <c r="FJ20" i="3"/>
  <c r="FJ19" i="3"/>
  <c r="FJ18" i="3"/>
  <c r="FJ29" i="3"/>
  <c r="B27" i="1" l="1"/>
  <c r="B28" i="1" s="1"/>
  <c r="B29" i="1"/>
  <c r="C30" i="1"/>
  <c r="C27" i="1"/>
  <c r="C28" i="1" s="1"/>
  <c r="D30" i="1"/>
  <c r="E30" i="1"/>
  <c r="E27" i="1"/>
  <c r="E28" i="1" s="1"/>
  <c r="F27" i="1"/>
  <c r="F28" i="1" s="1"/>
  <c r="F29" i="1"/>
  <c r="G27" i="1"/>
  <c r="G28" i="1" s="1"/>
  <c r="G29" i="1"/>
  <c r="H30" i="1"/>
  <c r="I32" i="1"/>
  <c r="I31" i="1"/>
  <c r="I18" i="1"/>
  <c r="I29" i="1" s="1"/>
  <c r="J32" i="1"/>
  <c r="J31" i="1"/>
  <c r="J18" i="1"/>
  <c r="J30" i="1" s="1"/>
  <c r="K32" i="1"/>
  <c r="K31" i="1"/>
  <c r="K29" i="1"/>
  <c r="K18" i="1"/>
  <c r="K27" i="1" s="1"/>
  <c r="K28" i="1" s="1"/>
  <c r="FK3" i="3"/>
  <c r="FK29" i="3"/>
  <c r="FK26" i="3"/>
  <c r="FK23" i="3"/>
  <c r="FK20" i="3"/>
  <c r="FK19" i="3"/>
  <c r="FK18" i="3"/>
  <c r="FL3" i="3"/>
  <c r="FL29" i="3"/>
  <c r="FL26" i="3"/>
  <c r="FL23" i="3"/>
  <c r="FL20" i="3"/>
  <c r="FL19" i="3"/>
  <c r="FL18" i="3"/>
  <c r="FM3" i="3"/>
  <c r="FM29" i="3"/>
  <c r="FM26" i="3"/>
  <c r="FM23" i="3"/>
  <c r="FM20" i="3"/>
  <c r="FM19" i="3"/>
  <c r="FM18" i="3"/>
  <c r="I30" i="1" l="1"/>
  <c r="I27" i="1"/>
  <c r="I28" i="1" s="1"/>
  <c r="J27" i="1"/>
  <c r="J28" i="1" s="1"/>
  <c r="J29" i="1"/>
  <c r="K30" i="1"/>
  <c r="L32" i="1"/>
  <c r="L31" i="1"/>
  <c r="L18" i="1"/>
  <c r="L30" i="1" s="1"/>
  <c r="FN3" i="3"/>
  <c r="FN19" i="3"/>
  <c r="FN18" i="3"/>
  <c r="FN20" i="3"/>
  <c r="FN26" i="3"/>
  <c r="FN29" i="3"/>
  <c r="FN23" i="3"/>
  <c r="L27" i="1" l="1"/>
  <c r="L28" i="1" s="1"/>
  <c r="L29" i="1"/>
  <c r="M32" i="1"/>
  <c r="M31" i="1"/>
  <c r="M29" i="1"/>
  <c r="M18" i="1"/>
  <c r="M27" i="1" s="1"/>
  <c r="M28" i="1" s="1"/>
  <c r="N32" i="1"/>
  <c r="N31" i="1"/>
  <c r="N18" i="1"/>
  <c r="N30" i="1" s="1"/>
  <c r="FO3" i="3"/>
  <c r="FO26" i="3"/>
  <c r="FO23" i="3"/>
  <c r="FO20" i="3"/>
  <c r="FO19" i="3"/>
  <c r="FO18" i="3"/>
  <c r="FO29" i="3"/>
  <c r="FP3" i="3"/>
  <c r="FP29" i="3"/>
  <c r="FP26" i="3"/>
  <c r="FP23" i="3"/>
  <c r="FP20" i="3"/>
  <c r="FP19" i="3"/>
  <c r="FP18" i="3"/>
  <c r="M30" i="1" l="1"/>
  <c r="N27" i="1"/>
  <c r="N28" i="1" s="1"/>
  <c r="N29" i="1"/>
  <c r="O32" i="1"/>
  <c r="O31" i="1"/>
  <c r="O30" i="1"/>
  <c r="O29" i="1"/>
  <c r="O18" i="1"/>
  <c r="O27" i="1" s="1"/>
  <c r="O28" i="1" s="1"/>
  <c r="FQ3" i="3"/>
  <c r="FQ26" i="3"/>
  <c r="FQ23" i="3"/>
  <c r="FQ29" i="3"/>
  <c r="FQ20" i="3"/>
  <c r="FQ19" i="3"/>
  <c r="FQ18" i="3"/>
  <c r="P32" i="1" l="1"/>
  <c r="P31" i="1"/>
  <c r="P18" i="1"/>
  <c r="P30" i="1" s="1"/>
  <c r="Q32" i="1"/>
  <c r="Q31" i="1"/>
  <c r="Q29" i="1"/>
  <c r="Q18" i="1"/>
  <c r="Q27" i="1" s="1"/>
  <c r="Q28" i="1" s="1"/>
  <c r="R32" i="1"/>
  <c r="R31" i="1"/>
  <c r="R29" i="1"/>
  <c r="R27" i="1"/>
  <c r="R28" i="1" s="1"/>
  <c r="R18" i="1"/>
  <c r="R30" i="1" s="1"/>
  <c r="FR3" i="3"/>
  <c r="FR29" i="3"/>
  <c r="FR26" i="3"/>
  <c r="FR23" i="3"/>
  <c r="FR20" i="3"/>
  <c r="FR19" i="3"/>
  <c r="FR18" i="3"/>
  <c r="FS3" i="3"/>
  <c r="FS29" i="3"/>
  <c r="FS26" i="3"/>
  <c r="FS23" i="3"/>
  <c r="FS20" i="3"/>
  <c r="FS19" i="3"/>
  <c r="FS18" i="3"/>
  <c r="FT3" i="3"/>
  <c r="FT29" i="3"/>
  <c r="FT26" i="3"/>
  <c r="FT23" i="3"/>
  <c r="FT20" i="3"/>
  <c r="FT19" i="3"/>
  <c r="FT18" i="3"/>
  <c r="P27" i="1" l="1"/>
  <c r="P28" i="1" s="1"/>
  <c r="P29" i="1"/>
  <c r="Q30" i="1"/>
  <c r="S32" i="1"/>
  <c r="S31" i="1"/>
  <c r="S18" i="1"/>
  <c r="S27" i="1" s="1"/>
  <c r="S28" i="1" s="1"/>
  <c r="FU3" i="3"/>
  <c r="FU29" i="3"/>
  <c r="FU26" i="3"/>
  <c r="FU23" i="3"/>
  <c r="FU20" i="3"/>
  <c r="FU19" i="3"/>
  <c r="FU18" i="3"/>
  <c r="S29" i="1" l="1"/>
  <c r="S30" i="1"/>
  <c r="T32" i="1"/>
  <c r="T31" i="1"/>
  <c r="T29" i="1"/>
  <c r="T27" i="1"/>
  <c r="T28" i="1" s="1"/>
  <c r="T18" i="1"/>
  <c r="T30" i="1" s="1"/>
  <c r="FV29" i="3"/>
  <c r="FV26" i="3"/>
  <c r="FV23" i="3"/>
  <c r="FV3" i="3"/>
  <c r="FV20" i="3"/>
  <c r="FV19" i="3"/>
  <c r="FV18" i="3"/>
  <c r="U32" i="1" l="1"/>
  <c r="U31" i="1"/>
  <c r="U18" i="1"/>
  <c r="U27" i="1" s="1"/>
  <c r="U28" i="1" s="1"/>
  <c r="V32" i="1"/>
  <c r="V31" i="1"/>
  <c r="V18" i="1"/>
  <c r="V27" i="1" s="1"/>
  <c r="V28" i="1" s="1"/>
  <c r="W32" i="1"/>
  <c r="W31" i="1"/>
  <c r="W18" i="1"/>
  <c r="W30" i="1" s="1"/>
  <c r="X32" i="1"/>
  <c r="X31" i="1"/>
  <c r="X18" i="1"/>
  <c r="X30" i="1" s="1"/>
  <c r="Y32" i="1"/>
  <c r="Y31" i="1"/>
  <c r="Y29" i="1"/>
  <c r="Y18" i="1"/>
  <c r="Y27" i="1" s="1"/>
  <c r="Y28" i="1" s="1"/>
  <c r="FW3" i="3"/>
  <c r="FW26" i="3"/>
  <c r="FW29" i="3"/>
  <c r="FW23" i="3"/>
  <c r="FW20" i="3"/>
  <c r="FW19" i="3"/>
  <c r="FW18" i="3"/>
  <c r="FX3" i="3"/>
  <c r="FX29" i="3"/>
  <c r="FX26" i="3"/>
  <c r="FX23" i="3"/>
  <c r="FX20" i="3"/>
  <c r="FX19" i="3"/>
  <c r="FX18" i="3"/>
  <c r="FX11" i="3"/>
  <c r="FY3" i="3"/>
  <c r="FY29" i="3"/>
  <c r="FY26" i="3"/>
  <c r="FY23" i="3"/>
  <c r="FY20" i="3"/>
  <c r="FY19" i="3"/>
  <c r="FY18" i="3"/>
  <c r="FY11" i="3"/>
  <c r="FZ3" i="3"/>
  <c r="FZ26" i="3"/>
  <c r="FZ23" i="3"/>
  <c r="FZ20" i="3"/>
  <c r="FZ19" i="3"/>
  <c r="FZ18" i="3"/>
  <c r="FZ29" i="3"/>
  <c r="FZ11" i="3"/>
  <c r="GA3" i="3"/>
  <c r="GA29" i="3"/>
  <c r="GA26" i="3"/>
  <c r="GA23" i="3"/>
  <c r="GA20" i="3"/>
  <c r="GA19" i="3"/>
  <c r="GA18" i="3"/>
  <c r="GA11" i="3"/>
  <c r="U29" i="1" l="1"/>
  <c r="U30" i="1"/>
  <c r="V29" i="1"/>
  <c r="V30" i="1"/>
  <c r="W29" i="1"/>
  <c r="W27" i="1"/>
  <c r="W28" i="1" s="1"/>
  <c r="X29" i="1"/>
  <c r="X27" i="1"/>
  <c r="X28" i="1" s="1"/>
  <c r="Y30" i="1"/>
  <c r="Z32" i="1"/>
  <c r="Z31" i="1"/>
  <c r="Z18" i="1"/>
  <c r="Z29" i="1" s="1"/>
  <c r="AA32" i="1"/>
  <c r="AA31" i="1"/>
  <c r="AA29" i="1"/>
  <c r="AA18" i="1"/>
  <c r="AA27" i="1" s="1"/>
  <c r="AA28" i="1" s="1"/>
  <c r="GB3" i="3"/>
  <c r="GB26" i="3"/>
  <c r="GB23" i="3"/>
  <c r="GB29" i="3"/>
  <c r="GB20" i="3"/>
  <c r="GB19" i="3"/>
  <c r="GB18" i="3"/>
  <c r="GB11" i="3"/>
  <c r="GC11" i="3"/>
  <c r="GC3" i="3"/>
  <c r="GC20" i="3"/>
  <c r="GC19" i="3"/>
  <c r="GC18" i="3"/>
  <c r="GC26" i="3"/>
  <c r="GC23" i="3"/>
  <c r="GC29" i="3"/>
  <c r="Z30" i="1" l="1"/>
  <c r="Z27" i="1"/>
  <c r="Z28" i="1" s="1"/>
  <c r="AA30" i="1"/>
  <c r="AB32" i="1"/>
  <c r="AB31" i="1"/>
  <c r="AB29" i="1"/>
  <c r="AB18" i="1"/>
  <c r="AB27" i="1" s="1"/>
  <c r="AB28" i="1" s="1"/>
  <c r="GD3" i="3"/>
  <c r="GD29" i="3"/>
  <c r="GD26" i="3"/>
  <c r="GD23" i="3"/>
  <c r="GD20" i="3"/>
  <c r="GD19" i="3"/>
  <c r="GD18" i="3"/>
  <c r="GD11" i="3"/>
  <c r="AB30" i="1" l="1"/>
  <c r="GE3" i="3"/>
  <c r="GE26" i="3"/>
  <c r="GE23" i="3"/>
  <c r="GE29" i="3"/>
  <c r="GE20" i="3"/>
  <c r="GE19" i="3"/>
  <c r="GE18" i="3"/>
  <c r="GE11" i="3"/>
  <c r="AC32" i="1"/>
  <c r="AC31" i="1"/>
  <c r="AC30" i="1"/>
  <c r="AC29" i="1"/>
  <c r="AC27" i="1"/>
  <c r="AC28" i="1" s="1"/>
  <c r="AC18" i="1"/>
  <c r="AD32" i="1" l="1"/>
  <c r="AD31" i="1"/>
  <c r="AD18" i="1"/>
  <c r="AD27" i="1" s="1"/>
  <c r="AD28" i="1" s="1"/>
  <c r="AE32" i="1"/>
  <c r="AE31" i="1"/>
  <c r="AE18" i="1"/>
  <c r="AE29" i="1" s="1"/>
  <c r="AF32" i="1"/>
  <c r="AF31" i="1"/>
  <c r="AF18" i="1"/>
  <c r="AF27" i="1" s="1"/>
  <c r="AF28" i="1" s="1"/>
  <c r="GF3" i="3"/>
  <c r="GF29" i="3"/>
  <c r="GF26" i="3"/>
  <c r="GF23" i="3"/>
  <c r="GF20" i="3"/>
  <c r="GF19" i="3"/>
  <c r="GF18" i="3"/>
  <c r="GF11" i="3"/>
  <c r="GG3" i="3"/>
  <c r="GG29" i="3"/>
  <c r="GG26" i="3"/>
  <c r="GG23" i="3"/>
  <c r="GG20" i="3"/>
  <c r="GG19" i="3"/>
  <c r="GG18" i="3"/>
  <c r="GG11" i="3"/>
  <c r="GH3" i="3"/>
  <c r="GH29" i="3"/>
  <c r="GH26" i="3"/>
  <c r="GH23" i="3"/>
  <c r="GH20" i="3"/>
  <c r="GH19" i="3"/>
  <c r="GH18" i="3"/>
  <c r="GH11" i="3"/>
  <c r="AD29" i="1" l="1"/>
  <c r="AD30" i="1"/>
  <c r="AE30" i="1"/>
  <c r="AE27" i="1"/>
  <c r="AE28" i="1" s="1"/>
  <c r="AF29" i="1"/>
  <c r="AF30" i="1"/>
  <c r="AG32" i="1"/>
  <c r="AG31" i="1"/>
  <c r="AG18" i="1"/>
  <c r="AG27" i="1" s="1"/>
  <c r="AG28" i="1" s="1"/>
  <c r="AH32" i="1"/>
  <c r="AH31" i="1"/>
  <c r="AH18" i="1"/>
  <c r="AH27" i="1" s="1"/>
  <c r="AH28" i="1" s="1"/>
  <c r="AI32" i="1"/>
  <c r="AI31" i="1"/>
  <c r="AI29" i="1"/>
  <c r="AI18" i="1"/>
  <c r="AI27" i="1" s="1"/>
  <c r="AI28" i="1" s="1"/>
  <c r="GI3" i="3"/>
  <c r="GI26" i="3"/>
  <c r="GI23" i="3"/>
  <c r="GI29" i="3"/>
  <c r="GI20" i="3"/>
  <c r="GI19" i="3"/>
  <c r="GI18" i="3"/>
  <c r="GI11" i="3"/>
  <c r="GJ3" i="3"/>
  <c r="GJ29" i="3"/>
  <c r="GJ26" i="3"/>
  <c r="GJ23" i="3"/>
  <c r="GJ20" i="3"/>
  <c r="GJ19" i="3"/>
  <c r="GJ18" i="3"/>
  <c r="GJ11" i="3"/>
  <c r="GK11" i="3"/>
  <c r="GK3" i="3"/>
  <c r="GK29" i="3"/>
  <c r="GK26" i="3"/>
  <c r="GK23" i="3"/>
  <c r="GK20" i="3"/>
  <c r="GK19" i="3"/>
  <c r="GK18" i="3"/>
  <c r="AG29" i="1" l="1"/>
  <c r="AG30" i="1"/>
  <c r="AH30" i="1"/>
  <c r="AH29" i="1"/>
  <c r="AI30" i="1"/>
  <c r="AJ32" i="1"/>
  <c r="AJ31" i="1"/>
  <c r="AJ18" i="1"/>
  <c r="AJ27" i="1" s="1"/>
  <c r="AJ28" i="1" s="1"/>
  <c r="AK32" i="1"/>
  <c r="AK31" i="1"/>
  <c r="AK18" i="1"/>
  <c r="AK27" i="1" s="1"/>
  <c r="AK28" i="1" s="1"/>
  <c r="AL32" i="1"/>
  <c r="AL31" i="1"/>
  <c r="AL18" i="1"/>
  <c r="AL29" i="1" s="1"/>
  <c r="AM32" i="1"/>
  <c r="AM31" i="1"/>
  <c r="AM18" i="1"/>
  <c r="AM27" i="1" s="1"/>
  <c r="AM28" i="1" s="1"/>
  <c r="GL3" i="3"/>
  <c r="GL29" i="3"/>
  <c r="GL26" i="3"/>
  <c r="GL23" i="3"/>
  <c r="GL20" i="3"/>
  <c r="GL19" i="3"/>
  <c r="GL18" i="3"/>
  <c r="GL11" i="3"/>
  <c r="GM3" i="3"/>
  <c r="GM26" i="3"/>
  <c r="GM23" i="3"/>
  <c r="GM20" i="3"/>
  <c r="GM19" i="3"/>
  <c r="GM18" i="3"/>
  <c r="GM29" i="3"/>
  <c r="GM11" i="3"/>
  <c r="GN11" i="3"/>
  <c r="GN3" i="3"/>
  <c r="GN29" i="3"/>
  <c r="GN26" i="3"/>
  <c r="GN23" i="3"/>
  <c r="GN20" i="3"/>
  <c r="GN19" i="3"/>
  <c r="GN18" i="3"/>
  <c r="GO3" i="3"/>
  <c r="GO26" i="3"/>
  <c r="GO23" i="3"/>
  <c r="GO20" i="3"/>
  <c r="GO19" i="3"/>
  <c r="GO18" i="3"/>
  <c r="GO11" i="3"/>
  <c r="GO29" i="3"/>
  <c r="AJ29" i="1" l="1"/>
  <c r="AJ30" i="1"/>
  <c r="AK29" i="1"/>
  <c r="AK30" i="1"/>
  <c r="AL30" i="1"/>
  <c r="AL27" i="1"/>
  <c r="AL28" i="1" s="1"/>
  <c r="AM29" i="1"/>
  <c r="AM30" i="1"/>
  <c r="GP23" i="3"/>
  <c r="GP3" i="3"/>
  <c r="GQ3" i="3"/>
  <c r="GP29" i="3"/>
  <c r="GP26" i="3"/>
  <c r="GP20" i="3"/>
  <c r="GP19" i="3"/>
  <c r="GP18" i="3"/>
  <c r="GP11" i="3"/>
  <c r="AN32" i="1"/>
  <c r="AN31" i="1"/>
  <c r="AN18" i="1"/>
  <c r="AN27" i="1" s="1"/>
  <c r="AN28" i="1" s="1"/>
  <c r="AO32" i="1"/>
  <c r="AO31" i="1"/>
  <c r="AO29" i="1"/>
  <c r="AO18" i="1"/>
  <c r="AO27" i="1" s="1"/>
  <c r="AO28" i="1" s="1"/>
  <c r="GQ29" i="3"/>
  <c r="GQ26" i="3"/>
  <c r="GQ23" i="3"/>
  <c r="GQ20" i="3"/>
  <c r="GQ19" i="3"/>
  <c r="GQ18" i="3"/>
  <c r="GQ11" i="3"/>
  <c r="AN29" i="1" l="1"/>
  <c r="AN30" i="1"/>
  <c r="AO30" i="1"/>
  <c r="AP32" i="1"/>
  <c r="AP31" i="1"/>
  <c r="AP29" i="1"/>
  <c r="AP18" i="1"/>
  <c r="AP27" i="1" s="1"/>
  <c r="AP28" i="1" s="1"/>
  <c r="AQ32" i="1"/>
  <c r="AQ31" i="1"/>
  <c r="AQ29" i="1"/>
  <c r="AQ18" i="1"/>
  <c r="AQ27" i="1" s="1"/>
  <c r="AQ28" i="1" s="1"/>
  <c r="GR3" i="3"/>
  <c r="GR29" i="3"/>
  <c r="GR26" i="3"/>
  <c r="GR23" i="3"/>
  <c r="GR20" i="3"/>
  <c r="GR19" i="3"/>
  <c r="GR11" i="3"/>
  <c r="GR18" i="3"/>
  <c r="GS11" i="3"/>
  <c r="GU11" i="3"/>
  <c r="GV11" i="3"/>
  <c r="GW11" i="3"/>
  <c r="GX11" i="3"/>
  <c r="GY11" i="3"/>
  <c r="GZ11" i="3"/>
  <c r="HA11" i="3"/>
  <c r="HB11" i="3"/>
  <c r="HC11" i="3"/>
  <c r="HD11" i="3"/>
  <c r="HE11" i="3"/>
  <c r="HF11" i="3"/>
  <c r="HG11" i="3"/>
  <c r="HH11" i="3"/>
  <c r="HI11" i="3"/>
  <c r="HJ11" i="3"/>
  <c r="HK11" i="3"/>
  <c r="HL11" i="3"/>
  <c r="HM11" i="3"/>
  <c r="HN11" i="3"/>
  <c r="HO11" i="3"/>
  <c r="HP11" i="3"/>
  <c r="HQ11" i="3"/>
  <c r="HR11" i="3"/>
  <c r="HS11" i="3"/>
  <c r="HT11" i="3"/>
  <c r="HU11" i="3"/>
  <c r="HV11" i="3"/>
  <c r="HW11" i="3"/>
  <c r="HX11" i="3"/>
  <c r="HY11" i="3"/>
  <c r="HZ11" i="3"/>
  <c r="IA11" i="3"/>
  <c r="IB11" i="3"/>
  <c r="IC11" i="3"/>
  <c r="ID11" i="3"/>
  <c r="IE11" i="3"/>
  <c r="IF11" i="3"/>
  <c r="IG11" i="3"/>
  <c r="IH11" i="3"/>
  <c r="II11" i="3"/>
  <c r="IJ11" i="3"/>
  <c r="IK11" i="3"/>
  <c r="IL11" i="3"/>
  <c r="IM11" i="3"/>
  <c r="IN11" i="3"/>
  <c r="IO11" i="3"/>
  <c r="IP11" i="3"/>
  <c r="IQ11" i="3"/>
  <c r="IR11" i="3"/>
  <c r="IS11" i="3"/>
  <c r="IT11" i="3"/>
  <c r="IU11" i="3"/>
  <c r="IV11" i="3"/>
  <c r="IW11" i="3"/>
  <c r="IX11" i="3"/>
  <c r="IY11" i="3"/>
  <c r="IZ11" i="3"/>
  <c r="JA11" i="3"/>
  <c r="JB11" i="3"/>
  <c r="JC11" i="3"/>
  <c r="JD11" i="3"/>
  <c r="JE11" i="3"/>
  <c r="JF11" i="3"/>
  <c r="JG11" i="3"/>
  <c r="JH11" i="3"/>
  <c r="JI11" i="3"/>
  <c r="JJ11" i="3"/>
  <c r="JK11" i="3"/>
  <c r="JL11" i="3"/>
  <c r="JM11" i="3"/>
  <c r="JN11" i="3"/>
  <c r="JO11" i="3"/>
  <c r="JP11" i="3"/>
  <c r="JQ11" i="3"/>
  <c r="JR11" i="3"/>
  <c r="JS11" i="3"/>
  <c r="JT11" i="3"/>
  <c r="JU11" i="3"/>
  <c r="JV11" i="3"/>
  <c r="JW11" i="3"/>
  <c r="JX11" i="3"/>
  <c r="JY11" i="3"/>
  <c r="JZ11" i="3"/>
  <c r="KA11" i="3"/>
  <c r="KB11" i="3"/>
  <c r="KC11" i="3"/>
  <c r="KD11" i="3"/>
  <c r="KE11" i="3"/>
  <c r="KF11" i="3"/>
  <c r="KG11" i="3"/>
  <c r="KH11" i="3"/>
  <c r="KI11" i="3"/>
  <c r="KJ11" i="3"/>
  <c r="KK11" i="3"/>
  <c r="KL11" i="3"/>
  <c r="KM11" i="3"/>
  <c r="KN11" i="3"/>
  <c r="KO11" i="3"/>
  <c r="KP11" i="3"/>
  <c r="KQ11" i="3"/>
  <c r="KR11" i="3"/>
  <c r="KS11" i="3"/>
  <c r="KT11" i="3"/>
  <c r="KU11" i="3"/>
  <c r="KV11" i="3"/>
  <c r="KW11" i="3"/>
  <c r="KX11" i="3"/>
  <c r="KY11" i="3"/>
  <c r="KZ11" i="3"/>
  <c r="LA11" i="3"/>
  <c r="LB11" i="3"/>
  <c r="LC11" i="3"/>
  <c r="LD11" i="3"/>
  <c r="LE11" i="3"/>
  <c r="LF11" i="3"/>
  <c r="LG11" i="3"/>
  <c r="LH11" i="3"/>
  <c r="LI11" i="3"/>
  <c r="LJ11" i="3"/>
  <c r="LK11" i="3"/>
  <c r="LL11" i="3"/>
  <c r="LM11" i="3"/>
  <c r="LN11" i="3"/>
  <c r="LO11" i="3"/>
  <c r="LP11" i="3"/>
  <c r="LQ11" i="3"/>
  <c r="LR11" i="3"/>
  <c r="LS11" i="3"/>
  <c r="LT11" i="3"/>
  <c r="LU11" i="3"/>
  <c r="LV11" i="3"/>
  <c r="LW11" i="3"/>
  <c r="LX11" i="3"/>
  <c r="LY11" i="3"/>
  <c r="LZ11" i="3"/>
  <c r="MA11" i="3"/>
  <c r="MB11" i="3"/>
  <c r="MC11" i="3"/>
  <c r="MD11" i="3"/>
  <c r="ME11" i="3"/>
  <c r="MF11" i="3"/>
  <c r="MG11" i="3"/>
  <c r="MH11" i="3"/>
  <c r="MI11" i="3"/>
  <c r="MJ11" i="3"/>
  <c r="MK11" i="3"/>
  <c r="ML11" i="3"/>
  <c r="MM11" i="3"/>
  <c r="MN11" i="3"/>
  <c r="MO11" i="3"/>
  <c r="MP11" i="3"/>
  <c r="MQ11" i="3"/>
  <c r="MR11" i="3"/>
  <c r="MS11" i="3"/>
  <c r="MT11" i="3"/>
  <c r="MU11" i="3"/>
  <c r="MV11" i="3"/>
  <c r="MW11" i="3"/>
  <c r="MX11" i="3"/>
  <c r="MY11" i="3"/>
  <c r="MZ11" i="3"/>
  <c r="NA11" i="3"/>
  <c r="NB11" i="3"/>
  <c r="NC11" i="3"/>
  <c r="ND11" i="3"/>
  <c r="NE11" i="3"/>
  <c r="NF11" i="3"/>
  <c r="NG11" i="3"/>
  <c r="NH11" i="3"/>
  <c r="NI11" i="3"/>
  <c r="NJ11" i="3"/>
  <c r="NK11" i="3"/>
  <c r="NL11" i="3"/>
  <c r="NM11" i="3"/>
  <c r="NN11" i="3"/>
  <c r="NO11" i="3"/>
  <c r="NP11" i="3"/>
  <c r="NQ11" i="3"/>
  <c r="GT11" i="3"/>
  <c r="NR11" i="3"/>
  <c r="NS11" i="3"/>
  <c r="NT11" i="3"/>
  <c r="NU11" i="3"/>
  <c r="NV11" i="3"/>
  <c r="NW11" i="3"/>
  <c r="NX11" i="3"/>
  <c r="NY11" i="3"/>
  <c r="NZ11" i="3"/>
  <c r="OA11" i="3"/>
  <c r="OB11" i="3"/>
  <c r="OC11" i="3"/>
  <c r="OD11" i="3"/>
  <c r="GS3" i="3"/>
  <c r="GS29" i="3"/>
  <c r="GS26" i="3"/>
  <c r="GS23" i="3"/>
  <c r="GS20" i="3"/>
  <c r="GS19" i="3"/>
  <c r="GS18" i="3"/>
  <c r="AR32" i="1"/>
  <c r="AR31" i="1"/>
  <c r="AR29" i="1"/>
  <c r="AR27" i="1"/>
  <c r="AR28" i="1" s="1"/>
  <c r="AR18" i="1"/>
  <c r="AR30" i="1" s="1"/>
  <c r="AS32" i="1"/>
  <c r="AS31" i="1"/>
  <c r="AS18" i="1"/>
  <c r="AS27" i="1" s="1"/>
  <c r="AS28" i="1" s="1"/>
  <c r="AT32" i="1"/>
  <c r="AT31" i="1"/>
  <c r="AT18" i="1"/>
  <c r="AT27" i="1" s="1"/>
  <c r="AT28" i="1" s="1"/>
  <c r="GT3" i="3"/>
  <c r="GT29" i="3"/>
  <c r="GT26" i="3"/>
  <c r="GT23" i="3"/>
  <c r="GT20" i="3"/>
  <c r="GT19" i="3"/>
  <c r="GT18" i="3"/>
  <c r="GU3" i="3"/>
  <c r="GU20" i="3"/>
  <c r="GU19" i="3"/>
  <c r="GU18" i="3"/>
  <c r="GU26" i="3"/>
  <c r="GU29" i="3"/>
  <c r="GU23" i="3"/>
  <c r="GV3" i="3"/>
  <c r="GV20" i="3"/>
  <c r="GV19" i="3"/>
  <c r="GV18" i="3"/>
  <c r="GV23" i="3"/>
  <c r="GV26" i="3"/>
  <c r="GV29" i="3"/>
  <c r="AP30" i="1" l="1"/>
  <c r="AQ30" i="1"/>
  <c r="AS30" i="1"/>
  <c r="AS29" i="1"/>
  <c r="AT29" i="1"/>
  <c r="AT30" i="1"/>
  <c r="AU32" i="1"/>
  <c r="AU31" i="1"/>
  <c r="AU18" i="1"/>
  <c r="AU27" i="1" s="1"/>
  <c r="AU28" i="1" s="1"/>
  <c r="GW3" i="3"/>
  <c r="GW29" i="3"/>
  <c r="GW26" i="3"/>
  <c r="GW23" i="3"/>
  <c r="GW20" i="3"/>
  <c r="GW19" i="3"/>
  <c r="GW18" i="3"/>
  <c r="AU29" i="1" l="1"/>
  <c r="AU30" i="1"/>
  <c r="GX3" i="3"/>
  <c r="GX29" i="3"/>
  <c r="GX26" i="3"/>
  <c r="GX23" i="3"/>
  <c r="GX20" i="3"/>
  <c r="GX19" i="3"/>
  <c r="GX18" i="3"/>
  <c r="AV32" i="1"/>
  <c r="AV31" i="1"/>
  <c r="AV18" i="1"/>
  <c r="AV30" i="1" s="1"/>
  <c r="AV27" i="1" l="1"/>
  <c r="AV28" i="1" s="1"/>
  <c r="AV29" i="1"/>
  <c r="GY3" i="3"/>
  <c r="GY26" i="3"/>
  <c r="GY23" i="3"/>
  <c r="GY20" i="3"/>
  <c r="GY19" i="3"/>
  <c r="GY18" i="3"/>
  <c r="GY29" i="3"/>
  <c r="AW32" i="1"/>
  <c r="AW31" i="1"/>
  <c r="AW30" i="1"/>
  <c r="AW29" i="1"/>
  <c r="AW27" i="1"/>
  <c r="AW28" i="1" s="1"/>
  <c r="AW18" i="1"/>
  <c r="GZ3" i="3" l="1"/>
  <c r="GZ29" i="3"/>
  <c r="GZ26" i="3"/>
  <c r="GZ23" i="3"/>
  <c r="GZ20" i="3"/>
  <c r="GZ19" i="3"/>
  <c r="GZ18" i="3"/>
  <c r="AX32" i="1"/>
  <c r="AX31" i="1"/>
  <c r="AX30" i="1"/>
  <c r="AX29" i="1"/>
  <c r="AX27" i="1"/>
  <c r="AX28" i="1" s="1"/>
  <c r="AX18" i="1"/>
  <c r="HA3" i="3" l="1"/>
  <c r="HA29" i="3"/>
  <c r="HA26" i="3"/>
  <c r="HA23" i="3"/>
  <c r="HA20" i="3"/>
  <c r="HA19" i="3"/>
  <c r="HA18" i="3"/>
  <c r="HB3" i="3"/>
  <c r="HB26" i="3"/>
  <c r="HB23" i="3"/>
  <c r="HB20" i="3"/>
  <c r="HB19" i="3"/>
  <c r="HB18" i="3"/>
  <c r="HB29" i="3"/>
  <c r="HC3" i="3"/>
  <c r="HC26" i="3"/>
  <c r="HC23" i="3"/>
  <c r="HC20" i="3"/>
  <c r="HC19" i="3"/>
  <c r="HC18" i="3"/>
  <c r="HC29" i="3"/>
  <c r="AY32" i="1"/>
  <c r="AY31" i="1"/>
  <c r="AY18" i="1"/>
  <c r="AY27" i="1" s="1"/>
  <c r="AY28" i="1" s="1"/>
  <c r="AZ32" i="1"/>
  <c r="AZ31" i="1"/>
  <c r="AZ18" i="1"/>
  <c r="AZ30" i="1" s="1"/>
  <c r="BA32" i="1"/>
  <c r="BA31" i="1"/>
  <c r="BA29" i="1"/>
  <c r="BA27" i="1"/>
  <c r="BA28" i="1" s="1"/>
  <c r="BA18" i="1"/>
  <c r="BA30" i="1" s="1"/>
  <c r="AY29" i="1" l="1"/>
  <c r="AY30" i="1"/>
  <c r="AZ27" i="1"/>
  <c r="AZ28" i="1" s="1"/>
  <c r="AZ29" i="1"/>
  <c r="HD3" i="3"/>
  <c r="HD29" i="3"/>
  <c r="HD26" i="3"/>
  <c r="HD23" i="3"/>
  <c r="HD20" i="3"/>
  <c r="HD19" i="3"/>
  <c r="HD18" i="3"/>
  <c r="HE3" i="3"/>
  <c r="HE29" i="3"/>
  <c r="HE26" i="3"/>
  <c r="HE23" i="3"/>
  <c r="HE20" i="3"/>
  <c r="HE19" i="3"/>
  <c r="HE18" i="3"/>
  <c r="BB32" i="1"/>
  <c r="BB31" i="1"/>
  <c r="BB18" i="1"/>
  <c r="BB30" i="1" s="1"/>
  <c r="BC32" i="1"/>
  <c r="BC31" i="1"/>
  <c r="BC18" i="1"/>
  <c r="BC27" i="1" s="1"/>
  <c r="BC28" i="1" s="1"/>
  <c r="BB29" i="1" l="1"/>
  <c r="BB27" i="1"/>
  <c r="BB28" i="1" s="1"/>
  <c r="BC29" i="1"/>
  <c r="BC30" i="1"/>
  <c r="BD32" i="1"/>
  <c r="BD31" i="1"/>
  <c r="BD18" i="1"/>
  <c r="BD27" i="1" s="1"/>
  <c r="BD28" i="1" s="1"/>
  <c r="BE32" i="1"/>
  <c r="BE31" i="1"/>
  <c r="BE18" i="1"/>
  <c r="BE29" i="1" s="1"/>
  <c r="HF3" i="3"/>
  <c r="HF26" i="3"/>
  <c r="HF23" i="3"/>
  <c r="HF29" i="3"/>
  <c r="HF20" i="3"/>
  <c r="HF19" i="3"/>
  <c r="HF18" i="3"/>
  <c r="HG3" i="3"/>
  <c r="HG26" i="3"/>
  <c r="HG23" i="3"/>
  <c r="HG20" i="3"/>
  <c r="HG19" i="3"/>
  <c r="HG18" i="3"/>
  <c r="HG29" i="3"/>
  <c r="BD30" i="1" l="1"/>
  <c r="BD29" i="1"/>
  <c r="BE30" i="1"/>
  <c r="BE27" i="1"/>
  <c r="BE28" i="1" s="1"/>
  <c r="HH3" i="3"/>
  <c r="HH29" i="3"/>
  <c r="HH26" i="3"/>
  <c r="HH23" i="3"/>
  <c r="HH20" i="3"/>
  <c r="HH19" i="3"/>
  <c r="HH18" i="3"/>
  <c r="HI3" i="3"/>
  <c r="HI29" i="3"/>
  <c r="HI26" i="3"/>
  <c r="HI23" i="3"/>
  <c r="HI20" i="3"/>
  <c r="HI19" i="3"/>
  <c r="HI18" i="3"/>
  <c r="HJ3" i="3"/>
  <c r="HJ29" i="3"/>
  <c r="HJ26" i="3"/>
  <c r="HJ23" i="3"/>
  <c r="HJ20" i="3"/>
  <c r="HJ19" i="3"/>
  <c r="HJ18" i="3"/>
  <c r="BF32" i="1"/>
  <c r="BF31" i="1"/>
  <c r="BF29" i="1"/>
  <c r="BF18" i="1"/>
  <c r="BF27" i="1" s="1"/>
  <c r="BF28" i="1" s="1"/>
  <c r="BG32" i="1"/>
  <c r="BG31" i="1"/>
  <c r="BG18" i="1"/>
  <c r="BG29" i="1" s="1"/>
  <c r="BH32" i="1"/>
  <c r="BH31" i="1"/>
  <c r="BH30" i="1"/>
  <c r="BH29" i="1"/>
  <c r="BH18" i="1"/>
  <c r="BH27" i="1" s="1"/>
  <c r="BH28" i="1" s="1"/>
  <c r="BF30" i="1" l="1"/>
  <c r="BG30" i="1"/>
  <c r="BG27" i="1"/>
  <c r="BG28" i="1" s="1"/>
  <c r="HK3" i="3"/>
  <c r="HK26" i="3"/>
  <c r="HK29" i="3"/>
  <c r="HK23" i="3"/>
  <c r="HK20" i="3"/>
  <c r="HK19" i="3"/>
  <c r="HK18" i="3"/>
  <c r="HL3" i="3"/>
  <c r="HL26" i="3"/>
  <c r="HL23" i="3"/>
  <c r="HL20" i="3"/>
  <c r="HL19" i="3"/>
  <c r="HL18" i="3"/>
  <c r="HL29" i="3"/>
  <c r="HM3" i="3"/>
  <c r="HM26" i="3"/>
  <c r="HM23" i="3"/>
  <c r="HM20" i="3"/>
  <c r="HM19" i="3"/>
  <c r="HM18" i="3"/>
  <c r="HM29" i="3"/>
  <c r="HN3" i="3"/>
  <c r="HN29" i="3"/>
  <c r="HN23" i="3"/>
  <c r="HN20" i="3"/>
  <c r="HN19" i="3"/>
  <c r="HN18" i="3"/>
  <c r="BI32" i="1"/>
  <c r="BI31" i="1"/>
  <c r="BI18" i="1"/>
  <c r="BI27" i="1" s="1"/>
  <c r="BI28" i="1" s="1"/>
  <c r="BJ32" i="1"/>
  <c r="BJ31" i="1"/>
  <c r="BJ18" i="1"/>
  <c r="BJ27" i="1" s="1"/>
  <c r="BJ28" i="1" s="1"/>
  <c r="BK32" i="1"/>
  <c r="BK31" i="1"/>
  <c r="BK18" i="1"/>
  <c r="BK27" i="1" s="1"/>
  <c r="BK28" i="1" s="1"/>
  <c r="BL32" i="1"/>
  <c r="BL31" i="1"/>
  <c r="BL18" i="1"/>
  <c r="BL27" i="1" s="1"/>
  <c r="BL28" i="1" s="1"/>
  <c r="BM18" i="1"/>
  <c r="BM30" i="1" s="1"/>
  <c r="HO3" i="3"/>
  <c r="HO29" i="3"/>
  <c r="HO23" i="3"/>
  <c r="HO20" i="3"/>
  <c r="HO19" i="3"/>
  <c r="HO18" i="3"/>
  <c r="HP3" i="3"/>
  <c r="HP29" i="3"/>
  <c r="HP23" i="3"/>
  <c r="HP20" i="3"/>
  <c r="HP19" i="3"/>
  <c r="HP18" i="3"/>
  <c r="HQ3" i="3"/>
  <c r="HQ29" i="3"/>
  <c r="HQ23" i="3"/>
  <c r="HQ20" i="3"/>
  <c r="HQ19" i="3"/>
  <c r="HQ18" i="3"/>
  <c r="BM32" i="1"/>
  <c r="BM31" i="1"/>
  <c r="BN32" i="1"/>
  <c r="BN31" i="1"/>
  <c r="BN18" i="1"/>
  <c r="BN27" i="1" s="1"/>
  <c r="BN28" i="1" s="1"/>
  <c r="BO32" i="1"/>
  <c r="BO31" i="1"/>
  <c r="BO18" i="1"/>
  <c r="BO27" i="1" s="1"/>
  <c r="BO28" i="1" s="1"/>
  <c r="BO29" i="1" l="1"/>
  <c r="BI29" i="1"/>
  <c r="BL29" i="1"/>
  <c r="BM27" i="1"/>
  <c r="BM28" i="1" s="1"/>
  <c r="BI30" i="1"/>
  <c r="BJ29" i="1"/>
  <c r="BJ30" i="1"/>
  <c r="BK29" i="1"/>
  <c r="BK30" i="1"/>
  <c r="BL30" i="1"/>
  <c r="BM29" i="1"/>
  <c r="BN30" i="1"/>
  <c r="BN29" i="1"/>
  <c r="BO30" i="1"/>
  <c r="HR3" i="3"/>
  <c r="HR29" i="3"/>
  <c r="HR23" i="3"/>
  <c r="HR20" i="3"/>
  <c r="HR19" i="3"/>
  <c r="HR18" i="3"/>
  <c r="HS3" i="3"/>
  <c r="HS29" i="3"/>
  <c r="HS23" i="3"/>
  <c r="HS20" i="3"/>
  <c r="HS19" i="3"/>
  <c r="HS18" i="3"/>
  <c r="HT3" i="3"/>
  <c r="HT29" i="3"/>
  <c r="HT23" i="3"/>
  <c r="HT20" i="3"/>
  <c r="HT19" i="3"/>
  <c r="HT18" i="3"/>
  <c r="HU3" i="3"/>
  <c r="HU29" i="3"/>
  <c r="HU23" i="3"/>
  <c r="HU20" i="3"/>
  <c r="HU19" i="3"/>
  <c r="HU18" i="3"/>
  <c r="BP32" i="1"/>
  <c r="BP31" i="1"/>
  <c r="BP18" i="1"/>
  <c r="BP27" i="1" s="1"/>
  <c r="BP28" i="1" s="1"/>
  <c r="BQ32" i="1"/>
  <c r="BQ31" i="1"/>
  <c r="BQ18" i="1"/>
  <c r="BQ29" i="1" s="1"/>
  <c r="BR32" i="1"/>
  <c r="BR31" i="1"/>
  <c r="BR18" i="1"/>
  <c r="BR27" i="1" s="1"/>
  <c r="BR28" i="1" s="1"/>
  <c r="BS32" i="1"/>
  <c r="BS31" i="1"/>
  <c r="BS18" i="1"/>
  <c r="BS27" i="1" s="1"/>
  <c r="BS28" i="1" s="1"/>
  <c r="BP29" i="1" l="1"/>
  <c r="BP30" i="1"/>
  <c r="BQ30" i="1"/>
  <c r="BQ27" i="1"/>
  <c r="BQ28" i="1" s="1"/>
  <c r="BR29" i="1"/>
  <c r="BR30" i="1"/>
  <c r="BS29" i="1"/>
  <c r="BS30" i="1"/>
  <c r="HV3" i="3"/>
  <c r="HV29" i="3"/>
  <c r="HV23" i="3"/>
  <c r="HV20" i="3"/>
  <c r="HV19" i="3"/>
  <c r="HV18" i="3"/>
  <c r="HW3" i="3"/>
  <c r="HW29" i="3"/>
  <c r="HW23" i="3"/>
  <c r="HW20" i="3"/>
  <c r="HW19" i="3"/>
  <c r="HW18" i="3"/>
  <c r="HX3" i="3"/>
  <c r="HX23" i="3"/>
  <c r="HX20" i="3"/>
  <c r="HX19" i="3"/>
  <c r="HX18" i="3"/>
  <c r="HY19" i="3"/>
  <c r="HX29" i="3"/>
  <c r="BT32" i="1"/>
  <c r="BT31" i="1"/>
  <c r="BT18" i="1"/>
  <c r="BT27" i="1" s="1"/>
  <c r="BT28" i="1" s="1"/>
  <c r="BU32" i="1"/>
  <c r="BU31" i="1"/>
  <c r="BU18" i="1"/>
  <c r="BU29" i="1" s="1"/>
  <c r="BV32" i="1"/>
  <c r="BV31" i="1"/>
  <c r="BV18" i="1"/>
  <c r="BV27" i="1" s="1"/>
  <c r="BV28" i="1" s="1"/>
  <c r="BT29" i="1" l="1"/>
  <c r="BT30" i="1"/>
  <c r="BU30" i="1"/>
  <c r="BU27" i="1"/>
  <c r="BU28" i="1" s="1"/>
  <c r="BV29" i="1"/>
  <c r="BV30" i="1"/>
  <c r="HY3" i="3"/>
  <c r="HY23" i="3"/>
  <c r="HY29" i="3"/>
  <c r="HY20" i="3"/>
  <c r="HY18" i="3"/>
  <c r="HZ3" i="3"/>
  <c r="IA3" i="3"/>
  <c r="HZ23" i="3"/>
  <c r="HZ20" i="3"/>
  <c r="HZ19" i="3"/>
  <c r="HZ18" i="3"/>
  <c r="HZ29" i="3"/>
  <c r="IA23" i="3"/>
  <c r="IA29" i="3"/>
  <c r="IA20" i="3"/>
  <c r="IA19" i="3"/>
  <c r="IA18" i="3"/>
  <c r="IB3" i="3"/>
  <c r="IB29" i="3"/>
  <c r="IB23" i="3"/>
  <c r="IB20" i="3"/>
  <c r="IB19" i="3"/>
  <c r="IB18" i="3"/>
  <c r="IC3" i="3"/>
  <c r="IC29" i="3"/>
  <c r="IC26" i="3"/>
  <c r="IC23" i="3"/>
  <c r="IC20" i="3"/>
  <c r="IC19" i="3"/>
  <c r="IC18" i="3"/>
  <c r="ID3" i="3"/>
  <c r="ID29" i="3"/>
  <c r="ID26" i="3"/>
  <c r="ID23" i="3"/>
  <c r="ID20" i="3"/>
  <c r="ID19" i="3"/>
  <c r="ID18" i="3"/>
  <c r="BW32" i="1"/>
  <c r="BW31" i="1"/>
  <c r="BW18" i="1"/>
  <c r="BW27" i="1" s="1"/>
  <c r="BW28" i="1" s="1"/>
  <c r="BX32" i="1"/>
  <c r="BX31" i="1"/>
  <c r="BX18" i="1"/>
  <c r="BX27" i="1" s="1"/>
  <c r="BX28" i="1" s="1"/>
  <c r="BY32" i="1"/>
  <c r="BY31" i="1"/>
  <c r="BY18" i="1"/>
  <c r="BY27" i="1" s="1"/>
  <c r="BY28" i="1" s="1"/>
  <c r="BZ32" i="1"/>
  <c r="BZ31" i="1"/>
  <c r="BZ18" i="1"/>
  <c r="BZ27" i="1" s="1"/>
  <c r="BZ28" i="1" s="1"/>
  <c r="CA32" i="1"/>
  <c r="CA31" i="1"/>
  <c r="CA18" i="1"/>
  <c r="CA30" i="1" s="1"/>
  <c r="CB32" i="1"/>
  <c r="CB31" i="1"/>
  <c r="CB18" i="1"/>
  <c r="CB30" i="1" s="1"/>
  <c r="CB27" i="1" l="1"/>
  <c r="CB28" i="1" s="1"/>
  <c r="CB29" i="1"/>
  <c r="BZ29" i="1"/>
  <c r="BW29" i="1"/>
  <c r="BW30" i="1"/>
  <c r="BX29" i="1"/>
  <c r="BX30" i="1"/>
  <c r="BY29" i="1"/>
  <c r="BY30" i="1"/>
  <c r="BZ30" i="1"/>
  <c r="CA29" i="1"/>
  <c r="CA27" i="1"/>
  <c r="CA28" i="1" s="1"/>
  <c r="IE61" i="3"/>
  <c r="IE60" i="3"/>
  <c r="IE59" i="3"/>
  <c r="IE58" i="3"/>
  <c r="IE57" i="3"/>
  <c r="IF61" i="3"/>
  <c r="IF60" i="3"/>
  <c r="IF59" i="3"/>
  <c r="IF58" i="3"/>
  <c r="IF57" i="3"/>
  <c r="IE39" i="3"/>
  <c r="IE38" i="3"/>
  <c r="IE37" i="3"/>
  <c r="IE36" i="3"/>
  <c r="IE35" i="3"/>
  <c r="IE34" i="3"/>
  <c r="IE33" i="3"/>
  <c r="IE32" i="3"/>
  <c r="IF39" i="3"/>
  <c r="IF38" i="3"/>
  <c r="IF37" i="3"/>
  <c r="IF36" i="3"/>
  <c r="IF35" i="3"/>
  <c r="IF34" i="3"/>
  <c r="IF33" i="3"/>
  <c r="IF32" i="3"/>
  <c r="IE3" i="3"/>
  <c r="IE29" i="3"/>
  <c r="IE26" i="3"/>
  <c r="IE23" i="3"/>
  <c r="IE20" i="3"/>
  <c r="IE19" i="3"/>
  <c r="IE18" i="3"/>
  <c r="IF3" i="3"/>
  <c r="IF29" i="3"/>
  <c r="IF26" i="3"/>
  <c r="IF23" i="3"/>
  <c r="IF20" i="3"/>
  <c r="IF19" i="3"/>
  <c r="IF18" i="3"/>
  <c r="CC32" i="1"/>
  <c r="CC31" i="1"/>
  <c r="CC18" i="1"/>
  <c r="CC27" i="1" s="1"/>
  <c r="CC28" i="1" s="1"/>
  <c r="CD32" i="1"/>
  <c r="CD31" i="1"/>
  <c r="CD18" i="1"/>
  <c r="CD30" i="1" s="1"/>
  <c r="IE42" i="3" l="1"/>
  <c r="CD27" i="1"/>
  <c r="CD28" i="1" s="1"/>
  <c r="CD29" i="1"/>
  <c r="IF41" i="3"/>
  <c r="IE41" i="3"/>
  <c r="IF40" i="3"/>
  <c r="IE40" i="3"/>
  <c r="IF42" i="3"/>
  <c r="CC29" i="1"/>
  <c r="CC30" i="1"/>
  <c r="IG61" i="3"/>
  <c r="IG60" i="3"/>
  <c r="IG59" i="3"/>
  <c r="IG58" i="3"/>
  <c r="IG57" i="3"/>
  <c r="IH61" i="3"/>
  <c r="IH60" i="3"/>
  <c r="IH59" i="3"/>
  <c r="IH58" i="3"/>
  <c r="IH57" i="3"/>
  <c r="II61" i="3"/>
  <c r="II60" i="3"/>
  <c r="II59" i="3"/>
  <c r="II58" i="3"/>
  <c r="II57" i="3"/>
  <c r="IJ61" i="3"/>
  <c r="IJ60" i="3"/>
  <c r="IJ59" i="3"/>
  <c r="IJ58" i="3"/>
  <c r="IJ57" i="3"/>
  <c r="IG39" i="3"/>
  <c r="IG38" i="3"/>
  <c r="IG37" i="3"/>
  <c r="IG36" i="3"/>
  <c r="IG35" i="3"/>
  <c r="IG34" i="3"/>
  <c r="IG33" i="3"/>
  <c r="IG32" i="3"/>
  <c r="IH39" i="3"/>
  <c r="IH38" i="3"/>
  <c r="IH37" i="3"/>
  <c r="IH36" i="3"/>
  <c r="IH35" i="3"/>
  <c r="IH34" i="3"/>
  <c r="IH33" i="3"/>
  <c r="IH32" i="3"/>
  <c r="II39" i="3"/>
  <c r="II38" i="3"/>
  <c r="II37" i="3"/>
  <c r="II36" i="3"/>
  <c r="II35" i="3"/>
  <c r="II34" i="3"/>
  <c r="II33" i="3"/>
  <c r="II32" i="3"/>
  <c r="IJ39" i="3"/>
  <c r="IJ38" i="3"/>
  <c r="IJ37" i="3"/>
  <c r="IJ36" i="3"/>
  <c r="IJ35" i="3"/>
  <c r="IJ34" i="3"/>
  <c r="IJ33" i="3"/>
  <c r="IJ32" i="3"/>
  <c r="IG3" i="3"/>
  <c r="IG23" i="3"/>
  <c r="IG20" i="3"/>
  <c r="IG19" i="3"/>
  <c r="IG18" i="3"/>
  <c r="IG26" i="3"/>
  <c r="IG29" i="3"/>
  <c r="IH3" i="3"/>
  <c r="IH20" i="3"/>
  <c r="IH19" i="3"/>
  <c r="IH18" i="3"/>
  <c r="IH29" i="3"/>
  <c r="IH26" i="3"/>
  <c r="IH23" i="3"/>
  <c r="II3" i="3"/>
  <c r="II23" i="3"/>
  <c r="II20" i="3"/>
  <c r="II19" i="3"/>
  <c r="II18" i="3"/>
  <c r="II29" i="3"/>
  <c r="IJ3" i="3"/>
  <c r="IJ20" i="3"/>
  <c r="IJ19" i="3"/>
  <c r="IJ18" i="3"/>
  <c r="IJ23" i="3"/>
  <c r="IJ29" i="3"/>
  <c r="CE32" i="1"/>
  <c r="CE31" i="1"/>
  <c r="CE18" i="1"/>
  <c r="CE27" i="1" s="1"/>
  <c r="CE28" i="1" s="1"/>
  <c r="CF32" i="1"/>
  <c r="CF31" i="1"/>
  <c r="CF18" i="1"/>
  <c r="CF27" i="1" s="1"/>
  <c r="CF28" i="1" s="1"/>
  <c r="CG32" i="1"/>
  <c r="CG31" i="1"/>
  <c r="CG27" i="1"/>
  <c r="CG28" i="1" s="1"/>
  <c r="CG18" i="1"/>
  <c r="CG30" i="1" s="1"/>
  <c r="CH32" i="1"/>
  <c r="CH31" i="1"/>
  <c r="CH30" i="1"/>
  <c r="CH18" i="1"/>
  <c r="CH29" i="1" s="1"/>
  <c r="IH40" i="3" l="1"/>
  <c r="CG29" i="1"/>
  <c r="IJ41" i="3"/>
  <c r="II42" i="3"/>
  <c r="IH42" i="3"/>
  <c r="IG41" i="3"/>
  <c r="IG40" i="3"/>
  <c r="IG42" i="3"/>
  <c r="IH41" i="3"/>
  <c r="II40" i="3"/>
  <c r="II41" i="3"/>
  <c r="IJ42" i="3"/>
  <c r="IJ40" i="3"/>
  <c r="CE29" i="1"/>
  <c r="CE30" i="1"/>
  <c r="CF29" i="1"/>
  <c r="CF30" i="1"/>
  <c r="CH27" i="1"/>
  <c r="CH28" i="1" s="1"/>
  <c r="IK80" i="3"/>
  <c r="IK79" i="3"/>
  <c r="IK78" i="3"/>
  <c r="IL80" i="3"/>
  <c r="IL79" i="3"/>
  <c r="IL78" i="3"/>
  <c r="IM80" i="3"/>
  <c r="IM79" i="3"/>
  <c r="IM78" i="3"/>
  <c r="IK61" i="3"/>
  <c r="IK60" i="3"/>
  <c r="IK59" i="3"/>
  <c r="IK58" i="3"/>
  <c r="IK57" i="3"/>
  <c r="IL61" i="3"/>
  <c r="IL60" i="3"/>
  <c r="IL59" i="3"/>
  <c r="IL58" i="3"/>
  <c r="IL57" i="3"/>
  <c r="IM61" i="3"/>
  <c r="IM60" i="3"/>
  <c r="IM59" i="3"/>
  <c r="IM58" i="3"/>
  <c r="IM57" i="3"/>
  <c r="IK39" i="3"/>
  <c r="IK38" i="3"/>
  <c r="IK37" i="3"/>
  <c r="IK36" i="3"/>
  <c r="IK35" i="3"/>
  <c r="IK34" i="3"/>
  <c r="IK33" i="3"/>
  <c r="IK32" i="3"/>
  <c r="IL39" i="3"/>
  <c r="IL38" i="3"/>
  <c r="IL37" i="3"/>
  <c r="IL36" i="3"/>
  <c r="IL35" i="3"/>
  <c r="IL34" i="3"/>
  <c r="IL33" i="3"/>
  <c r="IL32" i="3"/>
  <c r="IM39" i="3"/>
  <c r="IM38" i="3"/>
  <c r="IM37" i="3"/>
  <c r="IM36" i="3"/>
  <c r="IM35" i="3"/>
  <c r="IM34" i="3"/>
  <c r="IM33" i="3"/>
  <c r="IM32" i="3"/>
  <c r="IK3" i="3"/>
  <c r="IL3" i="3"/>
  <c r="IK29" i="3"/>
  <c r="IL29" i="3"/>
  <c r="IK23" i="3"/>
  <c r="IL23" i="3"/>
  <c r="IM23" i="3"/>
  <c r="IK20" i="3"/>
  <c r="IK19" i="3"/>
  <c r="IK18" i="3"/>
  <c r="IL26" i="3"/>
  <c r="IL20" i="3"/>
  <c r="IL19" i="3"/>
  <c r="IL18" i="3"/>
  <c r="IM3" i="3"/>
  <c r="IM20" i="3"/>
  <c r="IM19" i="3"/>
  <c r="IM18" i="3"/>
  <c r="IM26" i="3"/>
  <c r="IM29" i="3"/>
  <c r="CI32" i="1"/>
  <c r="CI31" i="1"/>
  <c r="CI18" i="1"/>
  <c r="CI29" i="1" s="1"/>
  <c r="CJ32" i="1"/>
  <c r="CJ31" i="1"/>
  <c r="CJ18" i="1"/>
  <c r="CJ27" i="1" s="1"/>
  <c r="CJ28" i="1" s="1"/>
  <c r="CK32" i="1"/>
  <c r="CK31" i="1"/>
  <c r="CK29" i="1"/>
  <c r="CK27" i="1"/>
  <c r="CK28" i="1" s="1"/>
  <c r="CK18" i="1"/>
  <c r="CK30" i="1" s="1"/>
  <c r="IM40" i="3" l="1"/>
  <c r="IM42" i="3"/>
  <c r="IL42" i="3"/>
  <c r="IK42" i="3"/>
  <c r="IK41" i="3"/>
  <c r="IK40" i="3"/>
  <c r="IL40" i="3"/>
  <c r="IL41" i="3"/>
  <c r="IM41" i="3"/>
  <c r="CI30" i="1"/>
  <c r="CI27" i="1"/>
  <c r="CI28" i="1" s="1"/>
  <c r="CJ29" i="1"/>
  <c r="CJ30" i="1"/>
  <c r="IN80" i="3"/>
  <c r="IN79" i="3"/>
  <c r="IN78" i="3"/>
  <c r="IO80" i="3"/>
  <c r="IO79" i="3"/>
  <c r="IO78" i="3"/>
  <c r="IN61" i="3"/>
  <c r="IN60" i="3"/>
  <c r="IN59" i="3"/>
  <c r="IN58" i="3"/>
  <c r="IN57" i="3"/>
  <c r="IO61" i="3"/>
  <c r="IO60" i="3"/>
  <c r="IO59" i="3"/>
  <c r="IO58" i="3"/>
  <c r="IO57" i="3"/>
  <c r="IN39" i="3"/>
  <c r="IN38" i="3"/>
  <c r="IN37" i="3"/>
  <c r="IN36" i="3"/>
  <c r="IN35" i="3"/>
  <c r="IN34" i="3"/>
  <c r="IN33" i="3"/>
  <c r="IN32" i="3"/>
  <c r="IO39" i="3"/>
  <c r="IO38" i="3"/>
  <c r="IO37" i="3"/>
  <c r="IO36" i="3"/>
  <c r="IO35" i="3"/>
  <c r="IO34" i="3"/>
  <c r="IO33" i="3"/>
  <c r="IO32" i="3"/>
  <c r="IN3" i="3"/>
  <c r="IN26" i="3"/>
  <c r="IN29" i="3"/>
  <c r="IN23" i="3"/>
  <c r="IN20" i="3"/>
  <c r="IN19" i="3"/>
  <c r="IN18" i="3"/>
  <c r="IO3" i="3"/>
  <c r="IO29" i="3"/>
  <c r="IO26" i="3"/>
  <c r="IO23" i="3"/>
  <c r="IO20" i="3"/>
  <c r="IO19" i="3"/>
  <c r="IO18" i="3"/>
  <c r="CL32" i="1"/>
  <c r="CL31" i="1"/>
  <c r="CL18" i="1"/>
  <c r="CL30" i="1" s="1"/>
  <c r="CM32" i="1"/>
  <c r="CM31" i="1"/>
  <c r="CM18" i="1"/>
  <c r="CM29" i="1" s="1"/>
  <c r="IO41" i="3" l="1"/>
  <c r="IN41" i="3"/>
  <c r="CM30" i="1"/>
  <c r="IN42" i="3"/>
  <c r="IO40" i="3"/>
  <c r="IN40" i="3"/>
  <c r="IO42" i="3"/>
  <c r="CL27" i="1"/>
  <c r="CL28" i="1" s="1"/>
  <c r="CL29" i="1"/>
  <c r="CM27" i="1"/>
  <c r="CM28" i="1" s="1"/>
  <c r="IP80" i="3"/>
  <c r="IP79" i="3"/>
  <c r="IP78" i="3"/>
  <c r="IP61" i="3"/>
  <c r="IP60" i="3"/>
  <c r="IP59" i="3"/>
  <c r="IP58" i="3"/>
  <c r="IP57" i="3"/>
  <c r="IP39" i="3"/>
  <c r="IP38" i="3"/>
  <c r="IP37" i="3"/>
  <c r="IP36" i="3"/>
  <c r="IP35" i="3"/>
  <c r="IP34" i="3"/>
  <c r="IP33" i="3"/>
  <c r="IP32" i="3"/>
  <c r="IP3" i="3"/>
  <c r="IP26" i="3"/>
  <c r="IP23" i="3"/>
  <c r="IP20" i="3"/>
  <c r="IP19" i="3"/>
  <c r="IP18" i="3"/>
  <c r="IP29" i="3"/>
  <c r="CN32" i="1"/>
  <c r="CN31" i="1"/>
  <c r="CN18" i="1"/>
  <c r="CN30" i="1" s="1"/>
  <c r="CN27" i="1" l="1"/>
  <c r="CN28" i="1" s="1"/>
  <c r="CN29" i="1"/>
  <c r="IP41" i="3"/>
  <c r="IP40" i="3"/>
  <c r="IP42" i="3"/>
  <c r="IU23" i="3"/>
  <c r="IQ80" i="3"/>
  <c r="IQ79" i="3"/>
  <c r="IQ78" i="3"/>
  <c r="IR80" i="3"/>
  <c r="IR79" i="3"/>
  <c r="IR78" i="3"/>
  <c r="IQ61" i="3"/>
  <c r="IQ60" i="3"/>
  <c r="IQ59" i="3"/>
  <c r="IQ58" i="3"/>
  <c r="IQ57" i="3"/>
  <c r="IR61" i="3"/>
  <c r="IR60" i="3"/>
  <c r="IR59" i="3"/>
  <c r="IR58" i="3"/>
  <c r="IR57" i="3"/>
  <c r="IQ39" i="3"/>
  <c r="IQ38" i="3"/>
  <c r="IQ37" i="3"/>
  <c r="IQ36" i="3"/>
  <c r="IQ35" i="3"/>
  <c r="IQ34" i="3"/>
  <c r="IQ33" i="3"/>
  <c r="IQ32" i="3"/>
  <c r="IR39" i="3"/>
  <c r="IR38" i="3"/>
  <c r="IR37" i="3"/>
  <c r="IR36" i="3"/>
  <c r="IR35" i="3"/>
  <c r="IR34" i="3"/>
  <c r="IR33" i="3"/>
  <c r="IR32" i="3"/>
  <c r="IQ3" i="3"/>
  <c r="IQ26" i="3"/>
  <c r="IQ23" i="3"/>
  <c r="IQ20" i="3"/>
  <c r="IQ19" i="3"/>
  <c r="IQ18" i="3"/>
  <c r="IQ29" i="3"/>
  <c r="IR26" i="3"/>
  <c r="IR23" i="3"/>
  <c r="IR20" i="3"/>
  <c r="IR19" i="3"/>
  <c r="IR18" i="3"/>
  <c r="IR3" i="3"/>
  <c r="IR29" i="3"/>
  <c r="CO32" i="1"/>
  <c r="CO31" i="1"/>
  <c r="CO18" i="1"/>
  <c r="CO29" i="1" s="1"/>
  <c r="CP32" i="1"/>
  <c r="CP31" i="1"/>
  <c r="CP18" i="1"/>
  <c r="CP30" i="1" s="1"/>
  <c r="CP27" i="1" l="1"/>
  <c r="CP28" i="1" s="1"/>
  <c r="CP29" i="1"/>
  <c r="IR40" i="3"/>
  <c r="IR42" i="3"/>
  <c r="IQ42" i="3"/>
  <c r="IQ40" i="3"/>
  <c r="IQ41" i="3"/>
  <c r="IR41" i="3"/>
  <c r="CO30" i="1"/>
  <c r="CO27" i="1"/>
  <c r="CO28" i="1" s="1"/>
  <c r="IS80" i="3"/>
  <c r="IS79" i="3"/>
  <c r="IS78" i="3"/>
  <c r="IS61" i="3"/>
  <c r="IS60" i="3"/>
  <c r="IS59" i="3"/>
  <c r="IS58" i="3"/>
  <c r="IS57" i="3"/>
  <c r="IS39" i="3"/>
  <c r="IS38" i="3"/>
  <c r="IS37" i="3"/>
  <c r="IS36" i="3"/>
  <c r="IS35" i="3"/>
  <c r="IS34" i="3"/>
  <c r="IS33" i="3"/>
  <c r="IS32" i="3"/>
  <c r="IS3" i="3"/>
  <c r="IS29" i="3"/>
  <c r="IS26" i="3"/>
  <c r="IS23" i="3"/>
  <c r="IS20" i="3"/>
  <c r="IS19" i="3"/>
  <c r="IS18" i="3"/>
  <c r="CQ32" i="1"/>
  <c r="CQ31" i="1"/>
  <c r="CQ18" i="1"/>
  <c r="CQ30" i="1" s="1"/>
  <c r="CQ27" i="1" l="1"/>
  <c r="CQ28" i="1" s="1"/>
  <c r="CQ29" i="1"/>
  <c r="IS41" i="3"/>
  <c r="IS40" i="3"/>
  <c r="IS42" i="3"/>
  <c r="IT39" i="3"/>
  <c r="IT38" i="3"/>
  <c r="IT37" i="3"/>
  <c r="IT36" i="3"/>
  <c r="IT35" i="3"/>
  <c r="IT34" i="3"/>
  <c r="IT33" i="3"/>
  <c r="IT32" i="3"/>
  <c r="IU39" i="3"/>
  <c r="IU38" i="3"/>
  <c r="IU37" i="3"/>
  <c r="IU36" i="3"/>
  <c r="IU35" i="3"/>
  <c r="IU34" i="3"/>
  <c r="IU33" i="3"/>
  <c r="IU32" i="3"/>
  <c r="IT80" i="3"/>
  <c r="IT79" i="3"/>
  <c r="IT78" i="3"/>
  <c r="IU80" i="3"/>
  <c r="IU79" i="3"/>
  <c r="IU78" i="3"/>
  <c r="IT61" i="3"/>
  <c r="IT60" i="3"/>
  <c r="IT59" i="3"/>
  <c r="IT58" i="3"/>
  <c r="IT57" i="3"/>
  <c r="IU61" i="3"/>
  <c r="IU60" i="3"/>
  <c r="IU59" i="3"/>
  <c r="IU58" i="3"/>
  <c r="IU57" i="3"/>
  <c r="IT20" i="3"/>
  <c r="IT19" i="3"/>
  <c r="IT18" i="3"/>
  <c r="IT26" i="3"/>
  <c r="IT29" i="3"/>
  <c r="IT23" i="3"/>
  <c r="IT3" i="3"/>
  <c r="IU3" i="3"/>
  <c r="IV23" i="3"/>
  <c r="IU26" i="3"/>
  <c r="IV26" i="3"/>
  <c r="IU20" i="3"/>
  <c r="IU19" i="3"/>
  <c r="IU18" i="3"/>
  <c r="IU29" i="3"/>
  <c r="CR32" i="1"/>
  <c r="CR31" i="1"/>
  <c r="CR18" i="1"/>
  <c r="CR27" i="1" s="1"/>
  <c r="CR28" i="1" s="1"/>
  <c r="CS32" i="1"/>
  <c r="CS31" i="1"/>
  <c r="CS18" i="1"/>
  <c r="CS27" i="1" s="1"/>
  <c r="CS28" i="1" s="1"/>
  <c r="IT42" i="3" l="1"/>
  <c r="IU42" i="3"/>
  <c r="IU40" i="3"/>
  <c r="IT40" i="3"/>
  <c r="IU41" i="3"/>
  <c r="IT41" i="3"/>
  <c r="CR29" i="1"/>
  <c r="CR30" i="1"/>
  <c r="CS29" i="1"/>
  <c r="CS30" i="1"/>
  <c r="IV39" i="3"/>
  <c r="IV38" i="3"/>
  <c r="IV37" i="3"/>
  <c r="IV36" i="3"/>
  <c r="IV35" i="3"/>
  <c r="IV34" i="3"/>
  <c r="IV33" i="3"/>
  <c r="IV32" i="3"/>
  <c r="IW39" i="3"/>
  <c r="IW38" i="3"/>
  <c r="IW37" i="3"/>
  <c r="IW36" i="3"/>
  <c r="IW35" i="3"/>
  <c r="IW34" i="3"/>
  <c r="IW33" i="3"/>
  <c r="IW32" i="3"/>
  <c r="IX39" i="3"/>
  <c r="IX38" i="3"/>
  <c r="IX37" i="3"/>
  <c r="IX36" i="3"/>
  <c r="IX35" i="3"/>
  <c r="IX34" i="3"/>
  <c r="IX33" i="3"/>
  <c r="IX32" i="3"/>
  <c r="IV80" i="3"/>
  <c r="IV79" i="3"/>
  <c r="IV78" i="3"/>
  <c r="IW80" i="3"/>
  <c r="IW79" i="3"/>
  <c r="IW78" i="3"/>
  <c r="IX80" i="3"/>
  <c r="IX79" i="3"/>
  <c r="IX78" i="3"/>
  <c r="IV61" i="3"/>
  <c r="IV60" i="3"/>
  <c r="IV59" i="3"/>
  <c r="IV58" i="3"/>
  <c r="IV57" i="3"/>
  <c r="IW61" i="3"/>
  <c r="IW60" i="3"/>
  <c r="IW59" i="3"/>
  <c r="IW58" i="3"/>
  <c r="IW57" i="3"/>
  <c r="IX61" i="3"/>
  <c r="IX60" i="3"/>
  <c r="IX59" i="3"/>
  <c r="IX58" i="3"/>
  <c r="IX57" i="3"/>
  <c r="IV3" i="3"/>
  <c r="IV20" i="3"/>
  <c r="IV19" i="3"/>
  <c r="IV18" i="3"/>
  <c r="IV29" i="3"/>
  <c r="IW26" i="3"/>
  <c r="IW23" i="3"/>
  <c r="IW20" i="3"/>
  <c r="IW19" i="3"/>
  <c r="IW18" i="3"/>
  <c r="IW3" i="3"/>
  <c r="IX3" i="3"/>
  <c r="IW29" i="3"/>
  <c r="IX26" i="3"/>
  <c r="IX23" i="3"/>
  <c r="IX20" i="3"/>
  <c r="IX19" i="3"/>
  <c r="IX18" i="3"/>
  <c r="IX29" i="3"/>
  <c r="CV32" i="1"/>
  <c r="CU32" i="1"/>
  <c r="CT32" i="1"/>
  <c r="CT31" i="1"/>
  <c r="CT18" i="1"/>
  <c r="CT27" i="1" s="1"/>
  <c r="CT28" i="1" s="1"/>
  <c r="CU31" i="1"/>
  <c r="CU18" i="1"/>
  <c r="CU27" i="1" s="1"/>
  <c r="CU28" i="1" s="1"/>
  <c r="CV31" i="1"/>
  <c r="CV30" i="1"/>
  <c r="CV29" i="1"/>
  <c r="CV27" i="1"/>
  <c r="CV28" i="1" s="1"/>
  <c r="CV18" i="1"/>
  <c r="IX40" i="3" l="1"/>
  <c r="IX42" i="3"/>
  <c r="IW42" i="3"/>
  <c r="IV42" i="3"/>
  <c r="CT29" i="1"/>
  <c r="IW40" i="3"/>
  <c r="IV40" i="3"/>
  <c r="IX41" i="3"/>
  <c r="IW41" i="3"/>
  <c r="IV41" i="3"/>
  <c r="CT30" i="1"/>
  <c r="CU30" i="1"/>
  <c r="CU29" i="1"/>
  <c r="IY80" i="3"/>
  <c r="IY79" i="3"/>
  <c r="IY78" i="3"/>
  <c r="IY61" i="3"/>
  <c r="IY60" i="3"/>
  <c r="IY59" i="3"/>
  <c r="IY58" i="3"/>
  <c r="IY57" i="3"/>
  <c r="IY39" i="3"/>
  <c r="IY38" i="3"/>
  <c r="IY37" i="3"/>
  <c r="IY36" i="3"/>
  <c r="IY35" i="3"/>
  <c r="IY34" i="3"/>
  <c r="IY33" i="3"/>
  <c r="IY32" i="3"/>
  <c r="IY3" i="3"/>
  <c r="IY26" i="3"/>
  <c r="IY20" i="3"/>
  <c r="IY19" i="3"/>
  <c r="IY18" i="3"/>
  <c r="IY23" i="3"/>
  <c r="IY29" i="3"/>
  <c r="CW32" i="1"/>
  <c r="CW31" i="1"/>
  <c r="CW30" i="1"/>
  <c r="CW29" i="1"/>
  <c r="CW18" i="1"/>
  <c r="CW27" i="1" s="1"/>
  <c r="CW28" i="1" s="1"/>
  <c r="IY41" i="3" l="1"/>
  <c r="IY40" i="3"/>
  <c r="IY42" i="3"/>
  <c r="IZ80" i="3"/>
  <c r="IZ79" i="3"/>
  <c r="IZ78" i="3"/>
  <c r="JA80" i="3"/>
  <c r="JA79" i="3"/>
  <c r="JA78" i="3"/>
  <c r="IZ61" i="3"/>
  <c r="IZ60" i="3"/>
  <c r="IZ59" i="3"/>
  <c r="IZ58" i="3"/>
  <c r="IZ57" i="3"/>
  <c r="JA61" i="3"/>
  <c r="JA60" i="3"/>
  <c r="JA59" i="3"/>
  <c r="JA58" i="3"/>
  <c r="JA57" i="3"/>
  <c r="IZ39" i="3"/>
  <c r="IZ38" i="3"/>
  <c r="IZ37" i="3"/>
  <c r="IZ36" i="3"/>
  <c r="IZ35" i="3"/>
  <c r="IZ34" i="3"/>
  <c r="IZ33" i="3"/>
  <c r="IZ32" i="3"/>
  <c r="JA39" i="3"/>
  <c r="JA38" i="3"/>
  <c r="JA37" i="3"/>
  <c r="JA36" i="3"/>
  <c r="JA35" i="3"/>
  <c r="JA34" i="3"/>
  <c r="JA33" i="3"/>
  <c r="JA32" i="3"/>
  <c r="IZ3" i="3"/>
  <c r="IZ26" i="3"/>
  <c r="IZ23" i="3"/>
  <c r="IZ20" i="3"/>
  <c r="IZ19" i="3"/>
  <c r="IZ18" i="3"/>
  <c r="IZ29" i="3"/>
  <c r="JA3" i="3"/>
  <c r="JA26" i="3"/>
  <c r="JA23" i="3"/>
  <c r="JA20" i="3"/>
  <c r="JA19" i="3"/>
  <c r="JA18" i="3"/>
  <c r="JA29" i="3"/>
  <c r="CX32" i="1"/>
  <c r="CX31" i="1"/>
  <c r="CX18" i="1"/>
  <c r="CX27" i="1" s="1"/>
  <c r="CX28" i="1" s="1"/>
  <c r="CY32" i="1"/>
  <c r="CY31" i="1"/>
  <c r="CY18" i="1"/>
  <c r="CY30" i="1" s="1"/>
  <c r="IZ40" i="3" l="1"/>
  <c r="JA40" i="3"/>
  <c r="JA42" i="3"/>
  <c r="IZ42" i="3"/>
  <c r="IZ41" i="3"/>
  <c r="JA41" i="3"/>
  <c r="CX29" i="1"/>
  <c r="CX30" i="1"/>
  <c r="CY27" i="1"/>
  <c r="CY28" i="1" s="1"/>
  <c r="CY29" i="1"/>
  <c r="CZ32" i="1"/>
  <c r="CZ31" i="1"/>
  <c r="CZ18" i="1"/>
  <c r="CZ30" i="1" s="1"/>
  <c r="JB39" i="3"/>
  <c r="JB38" i="3"/>
  <c r="JB37" i="3"/>
  <c r="JB36" i="3"/>
  <c r="JB35" i="3"/>
  <c r="JB34" i="3"/>
  <c r="JB33" i="3"/>
  <c r="JB32" i="3"/>
  <c r="JB80" i="3"/>
  <c r="JB79" i="3"/>
  <c r="JB78" i="3"/>
  <c r="JB61" i="3"/>
  <c r="JB60" i="3"/>
  <c r="JB59" i="3"/>
  <c r="JB58" i="3"/>
  <c r="JB57" i="3"/>
  <c r="JB3" i="3"/>
  <c r="JB18" i="3"/>
  <c r="JB19" i="3"/>
  <c r="JB20" i="3"/>
  <c r="JB26" i="3"/>
  <c r="JB23" i="3"/>
  <c r="JB29" i="3"/>
  <c r="JB40" i="3" l="1"/>
  <c r="JB41" i="3"/>
  <c r="JB42" i="3"/>
  <c r="CZ27" i="1"/>
  <c r="CZ28" i="1" s="1"/>
  <c r="CZ29" i="1"/>
  <c r="JC39" i="3"/>
  <c r="JC38" i="3"/>
  <c r="JC37" i="3"/>
  <c r="JC36" i="3"/>
  <c r="JC35" i="3"/>
  <c r="JC34" i="3"/>
  <c r="JC33" i="3"/>
  <c r="JC32" i="3"/>
  <c r="JD39" i="3"/>
  <c r="JD38" i="3"/>
  <c r="JD37" i="3"/>
  <c r="JD36" i="3"/>
  <c r="JD35" i="3"/>
  <c r="JD34" i="3"/>
  <c r="JD33" i="3"/>
  <c r="JD32" i="3"/>
  <c r="JD61" i="3"/>
  <c r="JD60" i="3"/>
  <c r="JD59" i="3"/>
  <c r="JD58" i="3"/>
  <c r="JD57" i="3"/>
  <c r="JC80" i="3"/>
  <c r="JC79" i="3"/>
  <c r="JC78" i="3"/>
  <c r="JD80" i="3"/>
  <c r="JD79" i="3"/>
  <c r="JD78" i="3"/>
  <c r="JE80" i="3"/>
  <c r="JE79" i="3"/>
  <c r="JE78" i="3"/>
  <c r="JF80" i="3"/>
  <c r="JF79" i="3"/>
  <c r="JF78" i="3"/>
  <c r="JG80" i="3"/>
  <c r="JG79" i="3"/>
  <c r="JG78" i="3"/>
  <c r="JC61" i="3"/>
  <c r="JC60" i="3"/>
  <c r="JC59" i="3"/>
  <c r="JC58" i="3"/>
  <c r="JC57" i="3"/>
  <c r="JC3" i="3"/>
  <c r="JC26" i="3"/>
  <c r="JC23" i="3"/>
  <c r="JC29" i="3"/>
  <c r="JC20" i="3"/>
  <c r="JC19" i="3"/>
  <c r="JC18" i="3"/>
  <c r="JD3" i="3"/>
  <c r="JE3" i="3"/>
  <c r="JF3" i="3"/>
  <c r="JD26" i="3"/>
  <c r="JD23" i="3"/>
  <c r="JD20" i="3"/>
  <c r="JD19" i="3"/>
  <c r="JD18" i="3"/>
  <c r="JD29" i="3"/>
  <c r="DA32" i="1"/>
  <c r="DA31" i="1"/>
  <c r="DA18" i="1"/>
  <c r="DA27" i="1" s="1"/>
  <c r="DA28" i="1" s="1"/>
  <c r="DB32" i="1"/>
  <c r="DB31" i="1"/>
  <c r="DB29" i="1"/>
  <c r="DB27" i="1"/>
  <c r="DB28" i="1" s="1"/>
  <c r="DB18" i="1"/>
  <c r="DB30" i="1" s="1"/>
  <c r="JC40" i="3" l="1"/>
  <c r="JD41" i="3"/>
  <c r="JC41" i="3"/>
  <c r="JD40" i="3"/>
  <c r="JD42" i="3"/>
  <c r="JC42" i="3"/>
  <c r="DA29" i="1"/>
  <c r="DA30" i="1"/>
  <c r="JE39" i="3"/>
  <c r="JE38" i="3"/>
  <c r="JE37" i="3"/>
  <c r="JE36" i="3"/>
  <c r="JE35" i="3"/>
  <c r="JE34" i="3"/>
  <c r="JE33" i="3"/>
  <c r="JE32" i="3"/>
  <c r="JF39" i="3"/>
  <c r="JF38" i="3"/>
  <c r="JF37" i="3"/>
  <c r="JF36" i="3"/>
  <c r="JF35" i="3"/>
  <c r="JF34" i="3"/>
  <c r="JF33" i="3"/>
  <c r="JF32" i="3"/>
  <c r="JG39" i="3"/>
  <c r="JG38" i="3"/>
  <c r="JG37" i="3"/>
  <c r="JG36" i="3"/>
  <c r="JG35" i="3"/>
  <c r="JG34" i="3"/>
  <c r="JG33" i="3"/>
  <c r="JG32" i="3"/>
  <c r="JE61" i="3"/>
  <c r="JE60" i="3"/>
  <c r="JE59" i="3"/>
  <c r="JE58" i="3"/>
  <c r="JE57" i="3"/>
  <c r="JF61" i="3"/>
  <c r="JF60" i="3"/>
  <c r="JF59" i="3"/>
  <c r="JF58" i="3"/>
  <c r="JF57" i="3"/>
  <c r="JG61" i="3"/>
  <c r="JG60" i="3"/>
  <c r="JG59" i="3"/>
  <c r="JG58" i="3"/>
  <c r="JG57" i="3"/>
  <c r="JE26" i="3"/>
  <c r="JE20" i="3"/>
  <c r="JE19" i="3"/>
  <c r="JE18" i="3"/>
  <c r="JE29" i="3"/>
  <c r="JE23" i="3"/>
  <c r="JF29" i="3"/>
  <c r="JF26" i="3"/>
  <c r="JF23" i="3"/>
  <c r="JF20" i="3"/>
  <c r="JF19" i="3"/>
  <c r="JF18" i="3"/>
  <c r="JG3" i="3"/>
  <c r="JG29" i="3"/>
  <c r="JG26" i="3"/>
  <c r="JG23" i="3"/>
  <c r="JG20" i="3"/>
  <c r="JG19" i="3"/>
  <c r="JG18" i="3"/>
  <c r="DD32" i="1"/>
  <c r="DD31" i="1"/>
  <c r="DD18" i="1"/>
  <c r="DD27" i="1" s="1"/>
  <c r="DD28" i="1" s="1"/>
  <c r="DC32" i="1"/>
  <c r="DC31" i="1"/>
  <c r="DC18" i="1"/>
  <c r="DC29" i="1" s="1"/>
  <c r="DF32" i="1"/>
  <c r="DF31" i="1"/>
  <c r="DF18" i="1"/>
  <c r="DF29" i="1" s="1"/>
  <c r="JF40" i="3" l="1"/>
  <c r="JE40" i="3"/>
  <c r="JG42" i="3"/>
  <c r="JF42" i="3"/>
  <c r="JE42" i="3"/>
  <c r="JG41" i="3"/>
  <c r="JF41" i="3"/>
  <c r="JE41" i="3"/>
  <c r="JG40" i="3"/>
  <c r="DD30" i="1"/>
  <c r="DD29" i="1"/>
  <c r="DC30" i="1"/>
  <c r="DC27" i="1"/>
  <c r="DC28" i="1" s="1"/>
  <c r="DF30" i="1"/>
  <c r="DF27" i="1"/>
  <c r="DF28" i="1" s="1"/>
  <c r="JH39" i="3"/>
  <c r="JH38" i="3"/>
  <c r="JH37" i="3"/>
  <c r="JH36" i="3"/>
  <c r="JH35" i="3"/>
  <c r="JH34" i="3"/>
  <c r="JH33" i="3"/>
  <c r="JH32" i="3"/>
  <c r="JI61" i="3"/>
  <c r="JH80" i="3"/>
  <c r="JH79" i="3"/>
  <c r="JH78" i="3"/>
  <c r="JH61" i="3"/>
  <c r="JH60" i="3"/>
  <c r="JH59" i="3"/>
  <c r="JH58" i="3"/>
  <c r="JH57" i="3"/>
  <c r="JH20" i="3"/>
  <c r="JH19" i="3"/>
  <c r="JH18" i="3"/>
  <c r="JH3" i="3"/>
  <c r="JH29" i="3"/>
  <c r="JH26" i="3"/>
  <c r="JH23" i="3"/>
  <c r="JI39" i="3"/>
  <c r="JI38" i="3"/>
  <c r="JI37" i="3"/>
  <c r="JI36" i="3"/>
  <c r="JI35" i="3"/>
  <c r="JI34" i="3"/>
  <c r="JI33" i="3"/>
  <c r="JI32" i="3"/>
  <c r="JI80" i="3"/>
  <c r="JI79" i="3"/>
  <c r="JI78" i="3"/>
  <c r="JI60" i="3"/>
  <c r="JI59" i="3"/>
  <c r="JI58" i="3"/>
  <c r="JI57" i="3"/>
  <c r="JI3" i="3"/>
  <c r="JI18" i="3"/>
  <c r="JI19" i="3"/>
  <c r="JI20" i="3"/>
  <c r="JI23" i="3"/>
  <c r="JI26" i="3"/>
  <c r="JI29" i="3"/>
  <c r="DE32" i="1"/>
  <c r="DE31" i="1"/>
  <c r="DE18" i="1"/>
  <c r="DE27" i="1" s="1"/>
  <c r="DE28" i="1" s="1"/>
  <c r="DG32" i="1"/>
  <c r="DG31" i="1"/>
  <c r="DG18" i="1"/>
  <c r="DG29" i="1" s="1"/>
  <c r="JI40" i="3" l="1"/>
  <c r="DG30" i="1"/>
  <c r="DG27" i="1"/>
  <c r="DG28" i="1" s="1"/>
  <c r="JH42" i="3"/>
  <c r="JI42" i="3"/>
  <c r="JI41" i="3"/>
  <c r="JH41" i="3"/>
  <c r="JH40" i="3"/>
  <c r="DE29" i="1"/>
  <c r="DE30" i="1"/>
  <c r="JJ3" i="3"/>
  <c r="JJ20" i="3"/>
  <c r="JK20" i="3"/>
  <c r="JJ19" i="3"/>
  <c r="JJ18" i="3"/>
  <c r="JJ23" i="3"/>
  <c r="JJ26" i="3"/>
  <c r="JJ29" i="3"/>
  <c r="JJ39" i="3"/>
  <c r="JJ38" i="3"/>
  <c r="JJ37" i="3"/>
  <c r="JJ36" i="3"/>
  <c r="JJ35" i="3"/>
  <c r="JJ34" i="3"/>
  <c r="JJ33" i="3"/>
  <c r="JJ32" i="3"/>
  <c r="JJ61" i="3"/>
  <c r="JJ60" i="3"/>
  <c r="JJ59" i="3"/>
  <c r="JJ58" i="3"/>
  <c r="JJ57" i="3"/>
  <c r="JJ80" i="3"/>
  <c r="JJ79" i="3"/>
  <c r="JJ78" i="3"/>
  <c r="JK39" i="3"/>
  <c r="JK38" i="3"/>
  <c r="JK37" i="3"/>
  <c r="JK36" i="3"/>
  <c r="JK35" i="3"/>
  <c r="JK34" i="3"/>
  <c r="JK33" i="3"/>
  <c r="JK32" i="3"/>
  <c r="JK61" i="3"/>
  <c r="JK60" i="3"/>
  <c r="JK59" i="3"/>
  <c r="JK58" i="3"/>
  <c r="JK57" i="3"/>
  <c r="JK80" i="3"/>
  <c r="JK79" i="3"/>
  <c r="JK78" i="3"/>
  <c r="JK3" i="3"/>
  <c r="JK29" i="3"/>
  <c r="JK18" i="3"/>
  <c r="JK19" i="3"/>
  <c r="JK23" i="3"/>
  <c r="JK26" i="3"/>
  <c r="DH32" i="1"/>
  <c r="DH31" i="1"/>
  <c r="DH18" i="1"/>
  <c r="DH27" i="1" s="1"/>
  <c r="DH28" i="1" s="1"/>
  <c r="DI32" i="1"/>
  <c r="DI31" i="1"/>
  <c r="DI18" i="1"/>
  <c r="DI29" i="1" s="1"/>
  <c r="DI30" i="1" l="1"/>
  <c r="DI27" i="1"/>
  <c r="DI28" i="1" s="1"/>
  <c r="JK42" i="3"/>
  <c r="JK40" i="3"/>
  <c r="JJ40" i="3"/>
  <c r="JK41" i="3"/>
  <c r="JJ41" i="3"/>
  <c r="JJ42" i="3"/>
  <c r="DH29" i="1"/>
  <c r="DH30" i="1"/>
  <c r="JL39" i="3"/>
  <c r="JL38" i="3"/>
  <c r="JL37" i="3"/>
  <c r="JL36" i="3"/>
  <c r="JL35" i="3"/>
  <c r="JL34" i="3"/>
  <c r="JL33" i="3"/>
  <c r="JL32" i="3"/>
  <c r="JL80" i="3"/>
  <c r="JL79" i="3"/>
  <c r="JL78" i="3"/>
  <c r="JL61" i="3"/>
  <c r="JL60" i="3"/>
  <c r="JL59" i="3"/>
  <c r="JL58" i="3"/>
  <c r="JL57" i="3"/>
  <c r="JL3" i="3"/>
  <c r="JL18" i="3"/>
  <c r="JL19" i="3"/>
  <c r="JL20" i="3"/>
  <c r="JL23" i="3"/>
  <c r="JL26" i="3"/>
  <c r="JL29" i="3"/>
  <c r="DJ32" i="1"/>
  <c r="DJ31" i="1"/>
  <c r="DJ18" i="1"/>
  <c r="DJ29" i="1" s="1"/>
  <c r="DJ30" i="1" l="1"/>
  <c r="DJ27" i="1"/>
  <c r="DJ28" i="1" s="1"/>
  <c r="JL41" i="3"/>
  <c r="JL42" i="3"/>
  <c r="JL40" i="3"/>
  <c r="JM39" i="3"/>
  <c r="JM38" i="3"/>
  <c r="JM37" i="3"/>
  <c r="JM36" i="3"/>
  <c r="JM35" i="3"/>
  <c r="JM34" i="3"/>
  <c r="JM33" i="3"/>
  <c r="JM32" i="3"/>
  <c r="JM80" i="3"/>
  <c r="JM79" i="3"/>
  <c r="JM78" i="3"/>
  <c r="JM61" i="3"/>
  <c r="JM60" i="3"/>
  <c r="JM59" i="3"/>
  <c r="JM58" i="3"/>
  <c r="JM57" i="3"/>
  <c r="JM20" i="3"/>
  <c r="JM19" i="3"/>
  <c r="JM18" i="3"/>
  <c r="JM3" i="3"/>
  <c r="JM29" i="3"/>
  <c r="JM26" i="3"/>
  <c r="JM23" i="3"/>
  <c r="DK32" i="1"/>
  <c r="DK31" i="1"/>
  <c r="DK18" i="1"/>
  <c r="DK29" i="1" s="1"/>
  <c r="JM40" i="3" l="1"/>
  <c r="JM42" i="3"/>
  <c r="JM41" i="3"/>
  <c r="DK30" i="1"/>
  <c r="DK27" i="1"/>
  <c r="DK28" i="1" s="1"/>
  <c r="JN39" i="3"/>
  <c r="JN38" i="3"/>
  <c r="JN37" i="3"/>
  <c r="JN36" i="3"/>
  <c r="JN35" i="3"/>
  <c r="JN34" i="3"/>
  <c r="JN33" i="3"/>
  <c r="JN32" i="3"/>
  <c r="JN80" i="3"/>
  <c r="JN79" i="3"/>
  <c r="JN78" i="3"/>
  <c r="JN61" i="3"/>
  <c r="JN60" i="3"/>
  <c r="JN59" i="3"/>
  <c r="JN58" i="3"/>
  <c r="JN57" i="3"/>
  <c r="JN3" i="3"/>
  <c r="JN18" i="3"/>
  <c r="JN20" i="3"/>
  <c r="JN19" i="3"/>
  <c r="JN23" i="3"/>
  <c r="JN26" i="3"/>
  <c r="JN29" i="3"/>
  <c r="DL32" i="1"/>
  <c r="DL31" i="1"/>
  <c r="DL18" i="1"/>
  <c r="DL30" i="1" s="1"/>
  <c r="DL29" i="1" l="1"/>
  <c r="DL27" i="1"/>
  <c r="DL28" i="1" s="1"/>
  <c r="JN40" i="3"/>
  <c r="JN41" i="3"/>
  <c r="JN42" i="3"/>
  <c r="JO39" i="3"/>
  <c r="JP39" i="3"/>
  <c r="JQ39" i="3"/>
  <c r="JR39" i="3"/>
  <c r="JO38" i="3"/>
  <c r="JP38" i="3"/>
  <c r="JQ38" i="3"/>
  <c r="JR38" i="3"/>
  <c r="JO37" i="3"/>
  <c r="JP37" i="3"/>
  <c r="JQ37" i="3"/>
  <c r="JR37" i="3"/>
  <c r="JO36" i="3"/>
  <c r="JP36" i="3"/>
  <c r="JQ36" i="3"/>
  <c r="JR36" i="3"/>
  <c r="JO35" i="3"/>
  <c r="JP35" i="3"/>
  <c r="JQ35" i="3"/>
  <c r="JR35" i="3"/>
  <c r="JO34" i="3"/>
  <c r="JP34" i="3"/>
  <c r="JQ34" i="3"/>
  <c r="JR34" i="3"/>
  <c r="JO33" i="3"/>
  <c r="JP33" i="3"/>
  <c r="JQ33" i="3"/>
  <c r="JR33" i="3"/>
  <c r="JO32" i="3"/>
  <c r="JP32" i="3"/>
  <c r="JQ32" i="3"/>
  <c r="JR32" i="3"/>
  <c r="JO80" i="3"/>
  <c r="JO79" i="3"/>
  <c r="JO78" i="3"/>
  <c r="JP80" i="3"/>
  <c r="JP79" i="3"/>
  <c r="JP78" i="3"/>
  <c r="JO61" i="3"/>
  <c r="JO60" i="3"/>
  <c r="JO59" i="3"/>
  <c r="JO58" i="3"/>
  <c r="JO57" i="3"/>
  <c r="JP61" i="3"/>
  <c r="JP60" i="3"/>
  <c r="JP59" i="3"/>
  <c r="JP58" i="3"/>
  <c r="JP57" i="3"/>
  <c r="JO3" i="3"/>
  <c r="JO18" i="3"/>
  <c r="JO19" i="3"/>
  <c r="JO20" i="3"/>
  <c r="JO26" i="3"/>
  <c r="JO23" i="3"/>
  <c r="JO29" i="3"/>
  <c r="JP26" i="3"/>
  <c r="JP23" i="3"/>
  <c r="JP20" i="3"/>
  <c r="JP19" i="3"/>
  <c r="JP18" i="3"/>
  <c r="JP3" i="3"/>
  <c r="JQ3" i="3"/>
  <c r="JP29" i="3"/>
  <c r="JQ29" i="3"/>
  <c r="DM32" i="1"/>
  <c r="DM31" i="1"/>
  <c r="DM18" i="1"/>
  <c r="DM27" i="1" s="1"/>
  <c r="DM28" i="1" s="1"/>
  <c r="DN32" i="1"/>
  <c r="DN31" i="1"/>
  <c r="DN29" i="1"/>
  <c r="DN27" i="1"/>
  <c r="DN28" i="1" s="1"/>
  <c r="DN18" i="1"/>
  <c r="DN30" i="1" s="1"/>
  <c r="JP41" i="3" l="1"/>
  <c r="JP40" i="3"/>
  <c r="JP42" i="3"/>
  <c r="JO41" i="3"/>
  <c r="JO40" i="3"/>
  <c r="JO42" i="3"/>
  <c r="JR41" i="3"/>
  <c r="JR40" i="3"/>
  <c r="JR42" i="3"/>
  <c r="JQ41" i="3"/>
  <c r="JQ40" i="3"/>
  <c r="JQ42" i="3"/>
  <c r="DM29" i="1"/>
  <c r="DM30" i="1"/>
  <c r="JQ80" i="3"/>
  <c r="JQ79" i="3"/>
  <c r="JQ78" i="3"/>
  <c r="JQ61" i="3"/>
  <c r="JQ60" i="3"/>
  <c r="JQ59" i="3"/>
  <c r="JQ58" i="3"/>
  <c r="JQ57" i="3"/>
  <c r="JR80" i="3"/>
  <c r="JR79" i="3"/>
  <c r="JR78" i="3"/>
  <c r="JR61" i="3"/>
  <c r="JR60" i="3"/>
  <c r="JR59" i="3"/>
  <c r="JR58" i="3"/>
  <c r="JR57" i="3"/>
  <c r="JQ26" i="3"/>
  <c r="JQ20" i="3"/>
  <c r="JQ19" i="3"/>
  <c r="JQ18" i="3"/>
  <c r="JQ23" i="3"/>
  <c r="JR3" i="3"/>
  <c r="JR20" i="3"/>
  <c r="JR19" i="3"/>
  <c r="JR18" i="3"/>
  <c r="JR26" i="3"/>
  <c r="JR23" i="3"/>
  <c r="JR29" i="3"/>
  <c r="DO32" i="1"/>
  <c r="DO31" i="1"/>
  <c r="DO18" i="1"/>
  <c r="DO30" i="1" s="1"/>
  <c r="DP32" i="1"/>
  <c r="DP31" i="1"/>
  <c r="DP30" i="1"/>
  <c r="DP18" i="1"/>
  <c r="DP27" i="1" s="1"/>
  <c r="DP28" i="1" s="1"/>
  <c r="DP29" i="1" l="1"/>
  <c r="DO27" i="1"/>
  <c r="DO28" i="1" s="1"/>
  <c r="DO29" i="1"/>
  <c r="JS20" i="3"/>
  <c r="JS19" i="3"/>
  <c r="JS18" i="3"/>
  <c r="JS39" i="3"/>
  <c r="JT39" i="3"/>
  <c r="JS38" i="3"/>
  <c r="JT38" i="3"/>
  <c r="JS37" i="3"/>
  <c r="JT37" i="3"/>
  <c r="JS36" i="3"/>
  <c r="JT36" i="3"/>
  <c r="JS35" i="3"/>
  <c r="JT35" i="3"/>
  <c r="JS34" i="3"/>
  <c r="JT34" i="3"/>
  <c r="JS33" i="3"/>
  <c r="JT33" i="3"/>
  <c r="JS32" i="3"/>
  <c r="JT32" i="3"/>
  <c r="JS80" i="3"/>
  <c r="JS79" i="3"/>
  <c r="JS78" i="3"/>
  <c r="JT80" i="3"/>
  <c r="JT79" i="3"/>
  <c r="JT78" i="3"/>
  <c r="JS61" i="3"/>
  <c r="JS60" i="3"/>
  <c r="JS59" i="3"/>
  <c r="JS58" i="3"/>
  <c r="JS57" i="3"/>
  <c r="JT61" i="3"/>
  <c r="JT60" i="3"/>
  <c r="JT59" i="3"/>
  <c r="JT58" i="3"/>
  <c r="JT57" i="3"/>
  <c r="JS3" i="3"/>
  <c r="JS29" i="3"/>
  <c r="JS26" i="3"/>
  <c r="JS23" i="3"/>
  <c r="JT3" i="3"/>
  <c r="JT20" i="3"/>
  <c r="JT19" i="3"/>
  <c r="JT18" i="3"/>
  <c r="JT26" i="3"/>
  <c r="JT23" i="3"/>
  <c r="JT29" i="3"/>
  <c r="JU39" i="3"/>
  <c r="JV39" i="3"/>
  <c r="JU38" i="3"/>
  <c r="JV38" i="3"/>
  <c r="JU37" i="3"/>
  <c r="JV37" i="3"/>
  <c r="JU36" i="3"/>
  <c r="JV36" i="3"/>
  <c r="JU35" i="3"/>
  <c r="JV35" i="3"/>
  <c r="JU34" i="3"/>
  <c r="JV34" i="3"/>
  <c r="JU33" i="3"/>
  <c r="JV33" i="3"/>
  <c r="JU32" i="3"/>
  <c r="JV32" i="3"/>
  <c r="DQ32" i="1"/>
  <c r="DQ31" i="1"/>
  <c r="DQ18" i="1"/>
  <c r="DQ27" i="1" s="1"/>
  <c r="DQ28" i="1" s="1"/>
  <c r="DR32" i="1"/>
  <c r="DR31" i="1"/>
  <c r="DR18" i="1"/>
  <c r="DR30" i="1" s="1"/>
  <c r="JT41" i="3" l="1"/>
  <c r="DR27" i="1"/>
  <c r="DR28" i="1" s="1"/>
  <c r="DR29" i="1"/>
  <c r="JS40" i="3"/>
  <c r="JV41" i="3"/>
  <c r="JV42" i="3"/>
  <c r="JS41" i="3"/>
  <c r="JS42" i="3"/>
  <c r="JU41" i="3"/>
  <c r="JT42" i="3"/>
  <c r="JT40" i="3"/>
  <c r="JV40" i="3"/>
  <c r="JU42" i="3"/>
  <c r="JU40" i="3"/>
  <c r="DQ30" i="1"/>
  <c r="DQ29" i="1"/>
  <c r="JU80" i="3"/>
  <c r="JU79" i="3"/>
  <c r="JU78" i="3"/>
  <c r="JU61" i="3"/>
  <c r="JU60" i="3"/>
  <c r="JU59" i="3"/>
  <c r="JU58" i="3"/>
  <c r="JU57" i="3"/>
  <c r="JU3" i="3"/>
  <c r="JU29" i="3"/>
  <c r="JU23" i="3"/>
  <c r="JU20" i="3"/>
  <c r="JU19" i="3"/>
  <c r="JU18" i="3"/>
  <c r="JU26" i="3"/>
  <c r="DS32" i="1"/>
  <c r="DS31" i="1"/>
  <c r="DS18" i="1"/>
  <c r="DS27" i="1" s="1"/>
  <c r="DS28" i="1" s="1"/>
  <c r="DS29" i="1" l="1"/>
  <c r="DS30" i="1"/>
  <c r="JV80" i="3"/>
  <c r="JV79" i="3"/>
  <c r="JV78" i="3"/>
  <c r="JV61" i="3"/>
  <c r="JV60" i="3"/>
  <c r="JV59" i="3"/>
  <c r="JV58" i="3"/>
  <c r="JV57" i="3"/>
  <c r="JV3" i="3"/>
  <c r="JW3" i="3"/>
  <c r="JV20" i="3"/>
  <c r="JW20" i="3"/>
  <c r="JV19" i="3"/>
  <c r="JW19" i="3"/>
  <c r="JV18" i="3"/>
  <c r="JW18" i="3"/>
  <c r="JV29" i="3"/>
  <c r="JW29" i="3"/>
  <c r="JV26" i="3"/>
  <c r="JV23" i="3"/>
  <c r="DT32" i="1"/>
  <c r="DT31" i="1"/>
  <c r="DT18" i="1"/>
  <c r="DT30" i="1" s="1"/>
  <c r="DT27" i="1" l="1"/>
  <c r="DT28" i="1" s="1"/>
  <c r="DT29" i="1"/>
  <c r="JW39" i="3"/>
  <c r="JW38" i="3"/>
  <c r="JW37" i="3"/>
  <c r="JW36" i="3"/>
  <c r="JW35" i="3"/>
  <c r="JW34" i="3"/>
  <c r="JW33" i="3"/>
  <c r="JW32" i="3"/>
  <c r="JW80" i="3"/>
  <c r="JW79" i="3"/>
  <c r="JW78" i="3"/>
  <c r="JW61" i="3"/>
  <c r="JW60" i="3"/>
  <c r="JW59" i="3"/>
  <c r="JW58" i="3"/>
  <c r="JW57" i="3"/>
  <c r="JW26" i="3"/>
  <c r="JW23" i="3"/>
  <c r="DU32" i="1"/>
  <c r="DU31" i="1"/>
  <c r="DU18" i="1"/>
  <c r="DU30" i="1" s="1"/>
  <c r="JW40" i="3" l="1"/>
  <c r="DU27" i="1"/>
  <c r="DU28" i="1" s="1"/>
  <c r="DU29" i="1"/>
  <c r="JW41" i="3"/>
  <c r="JW42" i="3"/>
  <c r="JX39" i="3"/>
  <c r="JY39" i="3"/>
  <c r="JX38" i="3"/>
  <c r="JY38" i="3"/>
  <c r="JX37" i="3"/>
  <c r="JY37" i="3"/>
  <c r="JX36" i="3"/>
  <c r="JY36" i="3"/>
  <c r="JX35" i="3"/>
  <c r="JY35" i="3"/>
  <c r="JX34" i="3"/>
  <c r="JY34" i="3"/>
  <c r="JX33" i="3"/>
  <c r="JY33" i="3"/>
  <c r="JX32" i="3"/>
  <c r="JY32" i="3"/>
  <c r="JX80" i="3"/>
  <c r="JX79" i="3"/>
  <c r="JX78" i="3"/>
  <c r="JY80" i="3"/>
  <c r="JY79" i="3"/>
  <c r="JY78" i="3"/>
  <c r="JX61" i="3"/>
  <c r="JX60" i="3"/>
  <c r="JX59" i="3"/>
  <c r="JX58" i="3"/>
  <c r="JX57" i="3"/>
  <c r="JY61" i="3"/>
  <c r="JY60" i="3"/>
  <c r="JY59" i="3"/>
  <c r="JY58" i="3"/>
  <c r="JY57" i="3"/>
  <c r="JX3" i="3"/>
  <c r="JX29" i="3"/>
  <c r="JX26" i="3"/>
  <c r="JX23" i="3"/>
  <c r="JX20" i="3"/>
  <c r="JX19" i="3"/>
  <c r="JX18" i="3"/>
  <c r="JY3" i="3"/>
  <c r="JY18" i="3"/>
  <c r="JY19" i="3"/>
  <c r="JY20" i="3"/>
  <c r="JY23" i="3"/>
  <c r="JY26" i="3"/>
  <c r="JY29" i="3"/>
  <c r="DV32" i="1"/>
  <c r="DV31" i="1"/>
  <c r="DV18" i="1"/>
  <c r="DV27" i="1" s="1"/>
  <c r="DV28" i="1" s="1"/>
  <c r="DW32" i="1"/>
  <c r="DW31" i="1"/>
  <c r="DW18" i="1"/>
  <c r="DW27" i="1" s="1"/>
  <c r="DW28" i="1" s="1"/>
  <c r="DV29" i="1" l="1"/>
  <c r="JY42" i="3"/>
  <c r="JX42" i="3"/>
  <c r="JY40" i="3"/>
  <c r="JX40" i="3"/>
  <c r="JY41" i="3"/>
  <c r="JX41" i="3"/>
  <c r="DV30" i="1"/>
  <c r="DW30" i="1"/>
  <c r="DW29" i="1"/>
  <c r="JZ39" i="3"/>
  <c r="KA39" i="3"/>
  <c r="JZ38" i="3"/>
  <c r="KA38" i="3"/>
  <c r="JZ37" i="3"/>
  <c r="KA37" i="3"/>
  <c r="JZ36" i="3"/>
  <c r="KA36" i="3"/>
  <c r="JZ35" i="3"/>
  <c r="KA35" i="3"/>
  <c r="JZ34" i="3"/>
  <c r="KA34" i="3"/>
  <c r="JZ33" i="3"/>
  <c r="KA33" i="3"/>
  <c r="JZ32" i="3"/>
  <c r="KA32" i="3"/>
  <c r="JZ80" i="3"/>
  <c r="JZ79" i="3"/>
  <c r="JZ78" i="3"/>
  <c r="KA80" i="3"/>
  <c r="KA79" i="3"/>
  <c r="KA78" i="3"/>
  <c r="JZ61" i="3"/>
  <c r="JZ60" i="3"/>
  <c r="JZ59" i="3"/>
  <c r="JZ58" i="3"/>
  <c r="JZ57" i="3"/>
  <c r="KA61" i="3"/>
  <c r="KA60" i="3"/>
  <c r="KA59" i="3"/>
  <c r="KA58" i="3"/>
  <c r="KA57" i="3"/>
  <c r="JZ3" i="3"/>
  <c r="KA3" i="3"/>
  <c r="JZ20" i="3"/>
  <c r="KA20" i="3"/>
  <c r="JZ19" i="3"/>
  <c r="KA19" i="3"/>
  <c r="JZ18" i="3"/>
  <c r="KA18" i="3"/>
  <c r="JZ23" i="3"/>
  <c r="KA23" i="3"/>
  <c r="JZ29" i="3"/>
  <c r="KA29" i="3"/>
  <c r="JZ26" i="3"/>
  <c r="KA26" i="3"/>
  <c r="DX31" i="1"/>
  <c r="DX32" i="1"/>
  <c r="DX18" i="1"/>
  <c r="DX29" i="1" s="1"/>
  <c r="DY32" i="1"/>
  <c r="DY31" i="1"/>
  <c r="DY18" i="1"/>
  <c r="DY27" i="1" s="1"/>
  <c r="DY28" i="1" s="1"/>
  <c r="JZ41" i="3" l="1"/>
  <c r="KA40" i="3"/>
  <c r="JZ42" i="3"/>
  <c r="JZ40" i="3"/>
  <c r="KA41" i="3"/>
  <c r="KA42" i="3"/>
  <c r="DX30" i="1"/>
  <c r="DX27" i="1"/>
  <c r="DX28" i="1" s="1"/>
  <c r="DY30" i="1"/>
  <c r="DY29" i="1"/>
  <c r="KB39" i="3"/>
  <c r="KC39" i="3"/>
  <c r="KB38" i="3"/>
  <c r="KC38" i="3"/>
  <c r="KB37" i="3"/>
  <c r="KC37" i="3"/>
  <c r="KB36" i="3"/>
  <c r="KC36" i="3"/>
  <c r="KB35" i="3"/>
  <c r="KC35" i="3"/>
  <c r="KB34" i="3"/>
  <c r="KC34" i="3"/>
  <c r="KB33" i="3"/>
  <c r="KC33" i="3"/>
  <c r="KB32" i="3"/>
  <c r="KC32" i="3"/>
  <c r="KB80" i="3"/>
  <c r="KB79" i="3"/>
  <c r="KB78" i="3"/>
  <c r="KB61" i="3"/>
  <c r="KB60" i="3"/>
  <c r="KB59" i="3"/>
  <c r="KB58" i="3"/>
  <c r="KB57" i="3"/>
  <c r="KB29" i="3"/>
  <c r="KC29" i="3"/>
  <c r="KB26" i="3"/>
  <c r="KB23" i="3"/>
  <c r="KB20" i="3"/>
  <c r="KB19" i="3"/>
  <c r="KB18" i="3"/>
  <c r="KB3" i="3"/>
  <c r="KC61" i="3"/>
  <c r="KC60" i="3"/>
  <c r="KC59" i="3"/>
  <c r="KC58" i="3"/>
  <c r="KC57" i="3"/>
  <c r="KC80" i="3"/>
  <c r="KC79" i="3"/>
  <c r="KC78" i="3"/>
  <c r="KC3" i="3"/>
  <c r="KC26" i="3"/>
  <c r="KC23" i="3"/>
  <c r="KC20" i="3"/>
  <c r="KC19" i="3"/>
  <c r="KC18" i="3"/>
  <c r="EA31" i="1"/>
  <c r="DZ32" i="1"/>
  <c r="DZ31" i="1"/>
  <c r="DZ18" i="1"/>
  <c r="DZ29" i="1" s="1"/>
  <c r="EA32" i="1"/>
  <c r="EA18" i="1"/>
  <c r="EA30" i="1" s="1"/>
  <c r="KC41" i="3" l="1"/>
  <c r="KB41" i="3"/>
  <c r="EA27" i="1"/>
  <c r="EA28" i="1" s="1"/>
  <c r="EA29" i="1"/>
  <c r="KC40" i="3"/>
  <c r="KC42" i="3"/>
  <c r="KB42" i="3"/>
  <c r="KB40" i="3"/>
  <c r="DZ30" i="1"/>
  <c r="DZ27" i="1"/>
  <c r="DZ28" i="1" s="1"/>
  <c r="KD39" i="3"/>
  <c r="KD38" i="3"/>
  <c r="KD37" i="3"/>
  <c r="KD36" i="3"/>
  <c r="KD35" i="3"/>
  <c r="KD34" i="3"/>
  <c r="KD33" i="3"/>
  <c r="KD32" i="3"/>
  <c r="KD80" i="3"/>
  <c r="KD79" i="3"/>
  <c r="KD78" i="3"/>
  <c r="KD61" i="3"/>
  <c r="KD60" i="3"/>
  <c r="KD59" i="3"/>
  <c r="KD58" i="3"/>
  <c r="KD57" i="3"/>
  <c r="KD3" i="3"/>
  <c r="KD29" i="3"/>
  <c r="KD26" i="3"/>
  <c r="KD23" i="3"/>
  <c r="KD20" i="3"/>
  <c r="KD19" i="3"/>
  <c r="KD18" i="3"/>
  <c r="EB32" i="1"/>
  <c r="EB31" i="1"/>
  <c r="EB18" i="1"/>
  <c r="EB30" i="1" s="1"/>
  <c r="KD41" i="3" l="1"/>
  <c r="KD40" i="3"/>
  <c r="KD42" i="3"/>
  <c r="EB27" i="1"/>
  <c r="EB28" i="1" s="1"/>
  <c r="EB29" i="1"/>
  <c r="KE39" i="3"/>
  <c r="KF39" i="3"/>
  <c r="KE38" i="3"/>
  <c r="KF38" i="3"/>
  <c r="KE37" i="3"/>
  <c r="KF37" i="3"/>
  <c r="KE36" i="3"/>
  <c r="KF36" i="3"/>
  <c r="KE35" i="3"/>
  <c r="KF35" i="3"/>
  <c r="KE34" i="3"/>
  <c r="KF34" i="3"/>
  <c r="KE33" i="3"/>
  <c r="KF33" i="3"/>
  <c r="KE32" i="3"/>
  <c r="KF32" i="3"/>
  <c r="KE80" i="3"/>
  <c r="KE79" i="3"/>
  <c r="KE78" i="3"/>
  <c r="KE61" i="3"/>
  <c r="KE60" i="3"/>
  <c r="KE59" i="3"/>
  <c r="KE58" i="3"/>
  <c r="KE57" i="3"/>
  <c r="KE3" i="3"/>
  <c r="KE29" i="3"/>
  <c r="KE26" i="3"/>
  <c r="KE23" i="3"/>
  <c r="KE20" i="3"/>
  <c r="KE19" i="3"/>
  <c r="KE18" i="3"/>
  <c r="EC32" i="1"/>
  <c r="EC31" i="1"/>
  <c r="EC18" i="1"/>
  <c r="EC30" i="1" s="1"/>
  <c r="EC27" i="1" l="1"/>
  <c r="EC28" i="1" s="1"/>
  <c r="EC29" i="1"/>
  <c r="KE41" i="3"/>
  <c r="KF42" i="3"/>
  <c r="KF40" i="3"/>
  <c r="KE42" i="3"/>
  <c r="KE40" i="3"/>
  <c r="KF41" i="3"/>
  <c r="KF80" i="3"/>
  <c r="KF79" i="3"/>
  <c r="KF78" i="3"/>
  <c r="KF61" i="3"/>
  <c r="KF60" i="3"/>
  <c r="KF59" i="3"/>
  <c r="KF58" i="3"/>
  <c r="KF57" i="3"/>
  <c r="KF3" i="3"/>
  <c r="KF29" i="3"/>
  <c r="KF26" i="3"/>
  <c r="KF23" i="3"/>
  <c r="KF20" i="3"/>
  <c r="KF19" i="3"/>
  <c r="KF18" i="3"/>
  <c r="ED32" i="1"/>
  <c r="ED31" i="1"/>
  <c r="ED18" i="1"/>
  <c r="ED30" i="1" s="1"/>
  <c r="KG39" i="3"/>
  <c r="KG38" i="3"/>
  <c r="KG37" i="3"/>
  <c r="KG36" i="3"/>
  <c r="KG35" i="3"/>
  <c r="KG34" i="3"/>
  <c r="KG33" i="3"/>
  <c r="KG32" i="3"/>
  <c r="KG80" i="3"/>
  <c r="KG79" i="3"/>
  <c r="KG78" i="3"/>
  <c r="KG61" i="3"/>
  <c r="KG60" i="3"/>
  <c r="KG59" i="3"/>
  <c r="KG58" i="3"/>
  <c r="KG57" i="3"/>
  <c r="KG3" i="3"/>
  <c r="KG29" i="3"/>
  <c r="KG26" i="3"/>
  <c r="KG23" i="3"/>
  <c r="KG20" i="3"/>
  <c r="KG19" i="3"/>
  <c r="KG18" i="3"/>
  <c r="EE32" i="1"/>
  <c r="EE31" i="1"/>
  <c r="EE18" i="1"/>
  <c r="EE30" i="1" s="1"/>
  <c r="ED27" i="1" l="1"/>
  <c r="ED28" i="1" s="1"/>
  <c r="ED29" i="1"/>
  <c r="KG40" i="3"/>
  <c r="KG41" i="3"/>
  <c r="KG42" i="3"/>
  <c r="EE27" i="1"/>
  <c r="EE28" i="1" s="1"/>
  <c r="EE29" i="1"/>
  <c r="KH39" i="3"/>
  <c r="KH38" i="3"/>
  <c r="KH37" i="3"/>
  <c r="KH36" i="3"/>
  <c r="KH35" i="3"/>
  <c r="KH34" i="3"/>
  <c r="KH33" i="3"/>
  <c r="KH32" i="3"/>
  <c r="KH80" i="3"/>
  <c r="KH79" i="3"/>
  <c r="KH78" i="3"/>
  <c r="KH61" i="3"/>
  <c r="KH60" i="3"/>
  <c r="KH59" i="3"/>
  <c r="KH58" i="3"/>
  <c r="KH57" i="3"/>
  <c r="KH3" i="3"/>
  <c r="KH29" i="3"/>
  <c r="KH26" i="3"/>
  <c r="KH23" i="3"/>
  <c r="KH20" i="3"/>
  <c r="KH19" i="3"/>
  <c r="KH18" i="3"/>
  <c r="EF32" i="1"/>
  <c r="EF31" i="1"/>
  <c r="EF29" i="1"/>
  <c r="EF27" i="1"/>
  <c r="EF28" i="1" s="1"/>
  <c r="EF18" i="1"/>
  <c r="EF30" i="1" s="1"/>
  <c r="KH40" i="3" l="1"/>
  <c r="KH41" i="3"/>
  <c r="KH42" i="3"/>
  <c r="KI39" i="3"/>
  <c r="KI38" i="3"/>
  <c r="KI37" i="3"/>
  <c r="KI36" i="3"/>
  <c r="KI35" i="3"/>
  <c r="KI34" i="3"/>
  <c r="KI33" i="3"/>
  <c r="KI32" i="3"/>
  <c r="KI80" i="3"/>
  <c r="KI79" i="3"/>
  <c r="KI78" i="3"/>
  <c r="KI61" i="3"/>
  <c r="KI60" i="3"/>
  <c r="KI59" i="3"/>
  <c r="KI58" i="3"/>
  <c r="KI57" i="3"/>
  <c r="KI3" i="3"/>
  <c r="KI29" i="3"/>
  <c r="KI26" i="3"/>
  <c r="KI23" i="3"/>
  <c r="KI20" i="3"/>
  <c r="KI19" i="3"/>
  <c r="KI18" i="3"/>
  <c r="EG32" i="1"/>
  <c r="EG31" i="1"/>
  <c r="EG18" i="1"/>
  <c r="EG27" i="1" s="1"/>
  <c r="EG28" i="1" s="1"/>
  <c r="EG29" i="1" l="1"/>
  <c r="KI40" i="3"/>
  <c r="KI42" i="3"/>
  <c r="KI41" i="3"/>
  <c r="EG30" i="1"/>
  <c r="KJ39" i="3"/>
  <c r="KJ38" i="3"/>
  <c r="KJ37" i="3"/>
  <c r="KJ36" i="3"/>
  <c r="KJ35" i="3"/>
  <c r="KJ34" i="3"/>
  <c r="KJ33" i="3"/>
  <c r="KJ32" i="3"/>
  <c r="KJ3" i="3"/>
  <c r="KJ29" i="3"/>
  <c r="KJ26" i="3"/>
  <c r="KJ23" i="3"/>
  <c r="KJ20" i="3"/>
  <c r="KJ19" i="3"/>
  <c r="KJ18" i="3"/>
  <c r="KJ61" i="3"/>
  <c r="KJ60" i="3"/>
  <c r="KJ59" i="3"/>
  <c r="KJ58" i="3"/>
  <c r="KJ57" i="3"/>
  <c r="KJ80" i="3"/>
  <c r="KJ79" i="3"/>
  <c r="KJ78" i="3"/>
  <c r="EH32" i="1"/>
  <c r="EH31" i="1"/>
  <c r="EH18" i="1"/>
  <c r="EH30" i="1" s="1"/>
  <c r="EH27" i="1" l="1"/>
  <c r="EH28" i="1" s="1"/>
  <c r="EH29" i="1"/>
  <c r="KJ42" i="3"/>
  <c r="KJ40" i="3"/>
  <c r="KJ41" i="3"/>
  <c r="KK39" i="3"/>
  <c r="KK38" i="3"/>
  <c r="KK37" i="3"/>
  <c r="KL38" i="3"/>
  <c r="KL39" i="3"/>
  <c r="KK36" i="3"/>
  <c r="KK35" i="3"/>
  <c r="KK34" i="3"/>
  <c r="KK33" i="3"/>
  <c r="KK32" i="3"/>
  <c r="KK61" i="3"/>
  <c r="KK80" i="3"/>
  <c r="KK79" i="3"/>
  <c r="KK78" i="3"/>
  <c r="KK60" i="3"/>
  <c r="KK59" i="3"/>
  <c r="KK58" i="3"/>
  <c r="KK57" i="3"/>
  <c r="KK3" i="3"/>
  <c r="KK29" i="3"/>
  <c r="KK26" i="3"/>
  <c r="KK23" i="3"/>
  <c r="KK20" i="3"/>
  <c r="KK19" i="3"/>
  <c r="KK18" i="3"/>
  <c r="EI32" i="1"/>
  <c r="EI31" i="1"/>
  <c r="EI18" i="1"/>
  <c r="EI30" i="1" s="1"/>
  <c r="KL37" i="3"/>
  <c r="KL36" i="3"/>
  <c r="KL35" i="3"/>
  <c r="KL34" i="3"/>
  <c r="KL33" i="3"/>
  <c r="KL32" i="3"/>
  <c r="KL61" i="3"/>
  <c r="KL80" i="3"/>
  <c r="KL79" i="3"/>
  <c r="KL78" i="3"/>
  <c r="KL60" i="3"/>
  <c r="KL59" i="3"/>
  <c r="KL58" i="3"/>
  <c r="KL57" i="3"/>
  <c r="KL3" i="3"/>
  <c r="KL29" i="3"/>
  <c r="KL26" i="3"/>
  <c r="KL23" i="3"/>
  <c r="KL20" i="3"/>
  <c r="KL19" i="3"/>
  <c r="KL18" i="3"/>
  <c r="EJ32" i="1"/>
  <c r="EJ31" i="1"/>
  <c r="EK31" i="1"/>
  <c r="EL31" i="1"/>
  <c r="EJ18" i="1"/>
  <c r="EJ27" i="1" s="1"/>
  <c r="EJ28" i="1" s="1"/>
  <c r="KK40" i="3" l="1"/>
  <c r="EJ29" i="1"/>
  <c r="KL40" i="3"/>
  <c r="KK41" i="3"/>
  <c r="KL42" i="3"/>
  <c r="KK42" i="3"/>
  <c r="KL41" i="3"/>
  <c r="EI29" i="1"/>
  <c r="EI27" i="1"/>
  <c r="EI28" i="1" s="1"/>
  <c r="EJ30" i="1"/>
  <c r="KM39" i="3"/>
  <c r="KM38" i="3"/>
  <c r="KM37" i="3"/>
  <c r="KM36" i="3"/>
  <c r="KM35" i="3"/>
  <c r="KM34" i="3"/>
  <c r="KM33" i="3"/>
  <c r="KM32" i="3"/>
  <c r="KM61" i="3"/>
  <c r="KM60" i="3"/>
  <c r="KM59" i="3"/>
  <c r="KM58" i="3"/>
  <c r="KM57" i="3"/>
  <c r="KN57" i="3"/>
  <c r="KM80" i="3"/>
  <c r="KM79" i="3"/>
  <c r="KM78" i="3"/>
  <c r="KM3" i="3"/>
  <c r="KM29" i="3"/>
  <c r="KM26" i="3"/>
  <c r="KM23" i="3"/>
  <c r="KM20" i="3"/>
  <c r="KM19" i="3"/>
  <c r="KM18" i="3"/>
  <c r="EK32" i="1"/>
  <c r="EK18" i="1"/>
  <c r="EK27" i="1" s="1"/>
  <c r="EK28" i="1" s="1"/>
  <c r="EK29" i="1" l="1"/>
  <c r="EK30" i="1"/>
  <c r="KM42" i="3"/>
  <c r="KM40" i="3"/>
  <c r="KM41" i="3"/>
  <c r="KN39" i="3"/>
  <c r="KN38" i="3"/>
  <c r="KN37" i="3"/>
  <c r="KN36" i="3"/>
  <c r="KN35" i="3"/>
  <c r="KN34" i="3"/>
  <c r="KN33" i="3"/>
  <c r="KN32" i="3"/>
  <c r="KN61" i="3"/>
  <c r="KN60" i="3"/>
  <c r="KN59" i="3"/>
  <c r="KN58" i="3"/>
  <c r="KN80" i="3"/>
  <c r="KN79" i="3"/>
  <c r="KN78" i="3"/>
  <c r="KN3" i="3"/>
  <c r="KN29" i="3"/>
  <c r="KN26" i="3"/>
  <c r="KN23" i="3"/>
  <c r="KN20" i="3"/>
  <c r="KN19" i="3"/>
  <c r="KN18" i="3"/>
  <c r="EL32" i="1"/>
  <c r="EL18" i="1"/>
  <c r="EL29" i="1" s="1"/>
  <c r="KN42" i="3" l="1"/>
  <c r="EL30" i="1"/>
  <c r="EL27" i="1"/>
  <c r="EL28" i="1" s="1"/>
  <c r="KN40" i="3"/>
  <c r="KN41" i="3"/>
  <c r="KO80" i="3"/>
  <c r="KO79" i="3"/>
  <c r="KO78" i="3"/>
  <c r="KO39" i="3"/>
  <c r="KO38" i="3"/>
  <c r="KO37" i="3"/>
  <c r="KO36" i="3"/>
  <c r="KO35" i="3"/>
  <c r="KO34" i="3"/>
  <c r="KO33" i="3"/>
  <c r="KO32" i="3"/>
  <c r="KO3" i="3"/>
  <c r="KO29" i="3"/>
  <c r="KO26" i="3"/>
  <c r="KO23" i="3"/>
  <c r="KO20" i="3"/>
  <c r="KO19" i="3"/>
  <c r="KO18" i="3"/>
  <c r="KO61" i="3"/>
  <c r="KP61" i="3"/>
  <c r="KO60" i="3"/>
  <c r="KP60" i="3"/>
  <c r="KO59" i="3"/>
  <c r="KP59" i="3"/>
  <c r="KO58" i="3"/>
  <c r="KP58" i="3"/>
  <c r="KO57" i="3"/>
  <c r="KP57" i="3"/>
  <c r="KP39" i="3"/>
  <c r="KP38" i="3"/>
  <c r="KP37" i="3"/>
  <c r="KP36" i="3"/>
  <c r="KP35" i="3"/>
  <c r="KP34" i="3"/>
  <c r="KP33" i="3"/>
  <c r="KP32" i="3"/>
  <c r="KP80" i="3"/>
  <c r="KP79" i="3"/>
  <c r="KP78" i="3"/>
  <c r="KP3" i="3"/>
  <c r="KP29" i="3"/>
  <c r="KP26" i="3"/>
  <c r="KP23" i="3"/>
  <c r="KP20" i="3"/>
  <c r="KP19" i="3"/>
  <c r="KP18" i="3"/>
  <c r="EM32" i="1"/>
  <c r="EM31" i="1"/>
  <c r="EM18" i="1"/>
  <c r="EM30" i="1" s="1"/>
  <c r="EN32" i="1"/>
  <c r="EN31" i="1"/>
  <c r="EN30" i="1"/>
  <c r="EN29" i="1"/>
  <c r="EN27" i="1"/>
  <c r="EN28" i="1" s="1"/>
  <c r="EN18" i="1"/>
  <c r="KO41" i="3" l="1"/>
  <c r="KP42" i="3"/>
  <c r="KO40" i="3"/>
  <c r="EM27" i="1"/>
  <c r="EM28" i="1" s="1"/>
  <c r="EM29" i="1"/>
  <c r="KP41" i="3"/>
  <c r="KP40" i="3"/>
  <c r="KO42" i="3"/>
  <c r="KQ39" i="3"/>
  <c r="KQ38" i="3"/>
  <c r="KQ37" i="3"/>
  <c r="KQ36" i="3"/>
  <c r="KQ35" i="3"/>
  <c r="KQ34" i="3"/>
  <c r="KQ33" i="3"/>
  <c r="KQ32" i="3"/>
  <c r="KQ80" i="3"/>
  <c r="KQ79" i="3"/>
  <c r="KQ78" i="3"/>
  <c r="KQ61" i="3"/>
  <c r="KQ60" i="3"/>
  <c r="KQ59" i="3"/>
  <c r="KQ58" i="3"/>
  <c r="KQ57" i="3"/>
  <c r="KQ3" i="3"/>
  <c r="KQ29" i="3"/>
  <c r="KQ26" i="3"/>
  <c r="KQ23" i="3"/>
  <c r="KQ20" i="3"/>
  <c r="KQ19" i="3"/>
  <c r="KQ18" i="3"/>
  <c r="EO32" i="1"/>
  <c r="EO31" i="1"/>
  <c r="EO30" i="1"/>
  <c r="EO18" i="1"/>
  <c r="EO29" i="1" s="1"/>
  <c r="EO27" i="1" l="1"/>
  <c r="EO28" i="1" s="1"/>
  <c r="KQ42" i="3"/>
  <c r="KQ41" i="3"/>
  <c r="KQ40" i="3"/>
  <c r="KR39" i="3"/>
  <c r="KR38" i="3"/>
  <c r="KR37" i="3"/>
  <c r="KR36" i="3"/>
  <c r="KR35" i="3"/>
  <c r="KR34" i="3"/>
  <c r="KR33" i="3"/>
  <c r="KR32" i="3"/>
  <c r="KR61" i="3"/>
  <c r="KR60" i="3"/>
  <c r="KR59" i="3"/>
  <c r="KR58" i="3"/>
  <c r="KR57" i="3"/>
  <c r="KR80" i="3"/>
  <c r="KR79" i="3"/>
  <c r="KR78" i="3"/>
  <c r="KR3" i="3"/>
  <c r="KR29" i="3"/>
  <c r="KR26" i="3"/>
  <c r="KR23" i="3"/>
  <c r="KR20" i="3"/>
  <c r="KR19" i="3"/>
  <c r="KR18" i="3"/>
  <c r="EP32" i="1"/>
  <c r="EP31" i="1"/>
  <c r="EP18" i="1"/>
  <c r="EP29" i="1" s="1"/>
  <c r="EP30" i="1" l="1"/>
  <c r="EP27" i="1"/>
  <c r="EP28" i="1" s="1"/>
  <c r="KR42" i="3"/>
  <c r="KR40" i="3"/>
  <c r="KR41" i="3"/>
  <c r="KS19" i="3"/>
  <c r="KS39" i="3"/>
  <c r="KS38" i="3"/>
  <c r="KS37" i="3"/>
  <c r="KS36" i="3"/>
  <c r="KS35" i="3"/>
  <c r="KS34" i="3"/>
  <c r="KS33" i="3"/>
  <c r="KS32" i="3"/>
  <c r="KS61" i="3"/>
  <c r="KS60" i="3"/>
  <c r="KS59" i="3"/>
  <c r="KS58" i="3"/>
  <c r="KS57" i="3"/>
  <c r="KS80" i="3"/>
  <c r="KS79" i="3"/>
  <c r="KS78" i="3"/>
  <c r="KS3" i="3"/>
  <c r="KS29" i="3"/>
  <c r="KS26" i="3"/>
  <c r="KS23" i="3"/>
  <c r="KS20" i="3"/>
  <c r="KS18" i="3"/>
  <c r="EQ32" i="1"/>
  <c r="EQ31" i="1"/>
  <c r="EQ18" i="1"/>
  <c r="EQ29" i="1" s="1"/>
  <c r="EQ27" i="1" l="1"/>
  <c r="EQ28" i="1" s="1"/>
  <c r="EQ30" i="1"/>
  <c r="KS42" i="3"/>
  <c r="KS40" i="3"/>
  <c r="KS41" i="3"/>
  <c r="KT39" i="3"/>
  <c r="KT38" i="3"/>
  <c r="KT37" i="3"/>
  <c r="KT36" i="3"/>
  <c r="KT35" i="3"/>
  <c r="KT34" i="3"/>
  <c r="KT33" i="3"/>
  <c r="KT32" i="3"/>
  <c r="KT61" i="3"/>
  <c r="KT60" i="3"/>
  <c r="KT59" i="3"/>
  <c r="KT58" i="3"/>
  <c r="KT57" i="3"/>
  <c r="KT80" i="3"/>
  <c r="KT79" i="3"/>
  <c r="KT78" i="3"/>
  <c r="KT3" i="3"/>
  <c r="KT29" i="3"/>
  <c r="KT26" i="3"/>
  <c r="KT23" i="3"/>
  <c r="KT20" i="3"/>
  <c r="KT19" i="3"/>
  <c r="KT18" i="3"/>
  <c r="ER32" i="1"/>
  <c r="ES32" i="1"/>
  <c r="ET32" i="1"/>
  <c r="EU32" i="1"/>
  <c r="ER31" i="1"/>
  <c r="ER18" i="1"/>
  <c r="ER29" i="1" s="1"/>
  <c r="KT42" i="3" l="1"/>
  <c r="ER30" i="1"/>
  <c r="ER27" i="1"/>
  <c r="ER28" i="1" s="1"/>
  <c r="KT41" i="3"/>
  <c r="KT40" i="3"/>
  <c r="KU39" i="3"/>
  <c r="KU38" i="3"/>
  <c r="KU37" i="3"/>
  <c r="KU36" i="3"/>
  <c r="KU35" i="3"/>
  <c r="KU34" i="3"/>
  <c r="KU33" i="3"/>
  <c r="KU32" i="3"/>
  <c r="KU61" i="3"/>
  <c r="KU60" i="3"/>
  <c r="KU59" i="3"/>
  <c r="KU58" i="3"/>
  <c r="KU57" i="3"/>
  <c r="KU80" i="3"/>
  <c r="KU79" i="3"/>
  <c r="KU78" i="3"/>
  <c r="KU3" i="3"/>
  <c r="KU29" i="3"/>
  <c r="KU26" i="3"/>
  <c r="KU23" i="3"/>
  <c r="KU20" i="3"/>
  <c r="KU19" i="3"/>
  <c r="KU18" i="3"/>
  <c r="KV80" i="3"/>
  <c r="ES31" i="1"/>
  <c r="ES30" i="1"/>
  <c r="ES18" i="1"/>
  <c r="ES29" i="1" s="1"/>
  <c r="KU40" i="3" l="1"/>
  <c r="ES27" i="1"/>
  <c r="ES28" i="1" s="1"/>
  <c r="KU42" i="3"/>
  <c r="KU41" i="3"/>
  <c r="KV39" i="3"/>
  <c r="KV38" i="3"/>
  <c r="KV37" i="3"/>
  <c r="KV36" i="3"/>
  <c r="KV35" i="3"/>
  <c r="KV34" i="3"/>
  <c r="KV33" i="3"/>
  <c r="KV32" i="3"/>
  <c r="KV79" i="3"/>
  <c r="KV78" i="3"/>
  <c r="KV61" i="3"/>
  <c r="KV60" i="3"/>
  <c r="KV59" i="3"/>
  <c r="KV58" i="3"/>
  <c r="KV57" i="3"/>
  <c r="KV3" i="3"/>
  <c r="KV29" i="3"/>
  <c r="KV23" i="3"/>
  <c r="KV19" i="3"/>
  <c r="KV20" i="3"/>
  <c r="KV18" i="3"/>
  <c r="KV26" i="3"/>
  <c r="ET31" i="1"/>
  <c r="ET18" i="1"/>
  <c r="ET30" i="1" s="1"/>
  <c r="ET27" i="1" l="1"/>
  <c r="ET28" i="1" s="1"/>
  <c r="ET29" i="1"/>
  <c r="KV42" i="3"/>
  <c r="KV41" i="3"/>
  <c r="KV40" i="3"/>
  <c r="KW39" i="3"/>
  <c r="KW38" i="3"/>
  <c r="KW37" i="3"/>
  <c r="KW36" i="3"/>
  <c r="KW35" i="3"/>
  <c r="KW34" i="3"/>
  <c r="KW33" i="3"/>
  <c r="KW32" i="3"/>
  <c r="KW61" i="3"/>
  <c r="KW60" i="3"/>
  <c r="KW59" i="3"/>
  <c r="KW58" i="3"/>
  <c r="KW57" i="3"/>
  <c r="KW80" i="3"/>
  <c r="KW79" i="3"/>
  <c r="KW78" i="3"/>
  <c r="KW3" i="3"/>
  <c r="KW29" i="3"/>
  <c r="KW26" i="3"/>
  <c r="KW23" i="3"/>
  <c r="KW20" i="3"/>
  <c r="KW19" i="3"/>
  <c r="KW18" i="3"/>
  <c r="EU31" i="1"/>
  <c r="EU27" i="1"/>
  <c r="EU28" i="1" s="1"/>
  <c r="EU18" i="1"/>
  <c r="EU30" i="1" s="1"/>
  <c r="EU29" i="1" l="1"/>
  <c r="KW42" i="3"/>
  <c r="KW41" i="3"/>
  <c r="KW40" i="3"/>
  <c r="KX36" i="3"/>
  <c r="KX80" i="3"/>
  <c r="KX39" i="3" l="1"/>
  <c r="KX38" i="3"/>
  <c r="KX37" i="3"/>
  <c r="KX35" i="3"/>
  <c r="KX34" i="3"/>
  <c r="KX33" i="3"/>
  <c r="KX32" i="3"/>
  <c r="KX61" i="3"/>
  <c r="KX60" i="3"/>
  <c r="KX59" i="3"/>
  <c r="KX58" i="3"/>
  <c r="KX57" i="3"/>
  <c r="KX79" i="3"/>
  <c r="KX78" i="3"/>
  <c r="KX3" i="3"/>
  <c r="KX29" i="3"/>
  <c r="KX26" i="3"/>
  <c r="KX23" i="3"/>
  <c r="KX20" i="3"/>
  <c r="KX19" i="3"/>
  <c r="KX18" i="3"/>
  <c r="EV32" i="1"/>
  <c r="EV31" i="1"/>
  <c r="EV18" i="1"/>
  <c r="EV29" i="1" s="1"/>
  <c r="EV30" i="1" l="1"/>
  <c r="EV27" i="1"/>
  <c r="EV28" i="1" s="1"/>
  <c r="KX42" i="3"/>
  <c r="KX40" i="3"/>
  <c r="KX41" i="3"/>
  <c r="KY39" i="3"/>
  <c r="KY38" i="3"/>
  <c r="KY37" i="3"/>
  <c r="KY36" i="3"/>
  <c r="KY35" i="3"/>
  <c r="KY34" i="3"/>
  <c r="KY33" i="3"/>
  <c r="KY32" i="3"/>
  <c r="KY61" i="3"/>
  <c r="KY60" i="3"/>
  <c r="KY59" i="3"/>
  <c r="KY58" i="3"/>
  <c r="KY57" i="3"/>
  <c r="KY80" i="3"/>
  <c r="KY79" i="3"/>
  <c r="KY78" i="3"/>
  <c r="KY3" i="3"/>
  <c r="KY29" i="3"/>
  <c r="KY26" i="3"/>
  <c r="KY23" i="3"/>
  <c r="KY20" i="3"/>
  <c r="KY19" i="3"/>
  <c r="KY18" i="3"/>
  <c r="EW32" i="1"/>
  <c r="EW31" i="1"/>
  <c r="EW18" i="1"/>
  <c r="EW27" i="1" s="1"/>
  <c r="EW28" i="1" s="1"/>
  <c r="EW29" i="1" l="1"/>
  <c r="EW30" i="1"/>
  <c r="KY42" i="3"/>
  <c r="KY41" i="3"/>
  <c r="KY40" i="3"/>
  <c r="KZ3" i="3"/>
  <c r="KZ39" i="3"/>
  <c r="KZ38" i="3"/>
  <c r="KZ37" i="3"/>
  <c r="KZ36" i="3"/>
  <c r="KZ35" i="3"/>
  <c r="KZ34" i="3"/>
  <c r="KZ33" i="3"/>
  <c r="KZ32" i="3"/>
  <c r="KZ61" i="3"/>
  <c r="KZ60" i="3"/>
  <c r="KZ59" i="3"/>
  <c r="KZ58" i="3"/>
  <c r="KZ57" i="3"/>
  <c r="KZ80" i="3"/>
  <c r="KZ79" i="3"/>
  <c r="KZ78" i="3"/>
  <c r="KZ29" i="3"/>
  <c r="KZ26" i="3"/>
  <c r="KZ23" i="3"/>
  <c r="KZ20" i="3"/>
  <c r="KZ19" i="3"/>
  <c r="KZ18" i="3"/>
  <c r="EX32" i="1"/>
  <c r="EX31" i="1"/>
  <c r="EX30" i="1"/>
  <c r="EX29" i="1"/>
  <c r="EX27" i="1"/>
  <c r="EX28" i="1" s="1"/>
  <c r="EX18" i="1"/>
  <c r="KZ41" i="3" l="1"/>
  <c r="KZ42" i="3"/>
  <c r="KZ40" i="3"/>
  <c r="EY32" i="1"/>
  <c r="EY31" i="1"/>
  <c r="EY18" i="1"/>
  <c r="EY30" i="1" s="1"/>
  <c r="EY29" i="1"/>
  <c r="EY27" i="1"/>
  <c r="EY28" i="1" s="1"/>
  <c r="LA39" i="3"/>
  <c r="LA38" i="3"/>
  <c r="LA37" i="3"/>
  <c r="LA36" i="3"/>
  <c r="LA35" i="3"/>
  <c r="LA34" i="3"/>
  <c r="LA33" i="3"/>
  <c r="LA32" i="3"/>
  <c r="LA61" i="3"/>
  <c r="LA60" i="3"/>
  <c r="LA59" i="3"/>
  <c r="LA58" i="3"/>
  <c r="LA57" i="3"/>
  <c r="LA80" i="3"/>
  <c r="LA79" i="3"/>
  <c r="LA78" i="3"/>
  <c r="LA3" i="3"/>
  <c r="LA29" i="3"/>
  <c r="LA26" i="3"/>
  <c r="LA23" i="3"/>
  <c r="LA20" i="3"/>
  <c r="LA19" i="3"/>
  <c r="LA18" i="3"/>
  <c r="LA40" i="3" l="1"/>
  <c r="LA42" i="3"/>
  <c r="LA41" i="3"/>
  <c r="EZ32" i="1"/>
  <c r="EZ31" i="1"/>
  <c r="EZ18" i="1"/>
  <c r="EZ30" i="1" s="1"/>
  <c r="LB39" i="3"/>
  <c r="LB38" i="3"/>
  <c r="LB37" i="3"/>
  <c r="LB36" i="3"/>
  <c r="LB35" i="3"/>
  <c r="LB34" i="3"/>
  <c r="LB33" i="3"/>
  <c r="LB32" i="3"/>
  <c r="LB61" i="3"/>
  <c r="LC62" i="3"/>
  <c r="LB60" i="3"/>
  <c r="LB59" i="3"/>
  <c r="LB58" i="3"/>
  <c r="LB57" i="3"/>
  <c r="LB80" i="3"/>
  <c r="LB79" i="3"/>
  <c r="LB78" i="3"/>
  <c r="LB3" i="3"/>
  <c r="LB29" i="3"/>
  <c r="LB26" i="3"/>
  <c r="LB23" i="3"/>
  <c r="LB20" i="3"/>
  <c r="LB19" i="3"/>
  <c r="LB18" i="3"/>
  <c r="EZ27" i="1" l="1"/>
  <c r="EZ28" i="1" s="1"/>
  <c r="EZ29" i="1"/>
  <c r="LB41" i="3"/>
  <c r="LB40" i="3"/>
  <c r="LB42" i="3"/>
  <c r="LC39" i="3"/>
  <c r="LC38" i="3"/>
  <c r="LC37" i="3"/>
  <c r="LC36" i="3"/>
  <c r="LC35" i="3"/>
  <c r="LC34" i="3"/>
  <c r="LC33" i="3"/>
  <c r="LC32" i="3"/>
  <c r="LC61" i="3"/>
  <c r="LC60" i="3"/>
  <c r="LC59" i="3"/>
  <c r="LC58" i="3"/>
  <c r="LC57" i="3"/>
  <c r="LC80" i="3"/>
  <c r="LC79" i="3"/>
  <c r="LC78" i="3"/>
  <c r="LC3" i="3"/>
  <c r="LC29" i="3"/>
  <c r="LC26" i="3"/>
  <c r="LC23" i="3"/>
  <c r="LC20" i="3"/>
  <c r="LC19" i="3"/>
  <c r="LC18" i="3"/>
  <c r="FA32" i="1"/>
  <c r="FA31" i="1"/>
  <c r="FA18" i="1"/>
  <c r="FA30" i="1" s="1"/>
  <c r="FA27" i="1" l="1"/>
  <c r="FA28" i="1" s="1"/>
  <c r="FA29" i="1"/>
  <c r="LC41" i="3"/>
  <c r="LC42" i="3"/>
  <c r="LC40" i="3"/>
  <c r="LD80" i="3"/>
  <c r="LE80" i="3"/>
  <c r="LD39" i="3"/>
  <c r="LD38" i="3"/>
  <c r="LD37" i="3"/>
  <c r="LD36" i="3"/>
  <c r="LD35" i="3"/>
  <c r="LD34" i="3"/>
  <c r="LD33" i="3"/>
  <c r="LD32" i="3"/>
  <c r="LD61" i="3"/>
  <c r="LD60" i="3"/>
  <c r="LD59" i="3"/>
  <c r="LD58" i="3"/>
  <c r="LD57" i="3"/>
  <c r="LF80" i="3"/>
  <c r="LD79" i="3"/>
  <c r="LD78" i="3"/>
  <c r="LD3" i="3"/>
  <c r="LD29" i="3"/>
  <c r="LD26" i="3"/>
  <c r="LD23" i="3"/>
  <c r="LD20" i="3"/>
  <c r="LD19" i="3"/>
  <c r="LD18" i="3"/>
  <c r="FB32" i="1"/>
  <c r="FB31" i="1"/>
  <c r="FB18" i="1"/>
  <c r="FB29" i="1" s="1"/>
  <c r="FB30" i="1" l="1"/>
  <c r="FB27" i="1"/>
  <c r="FB28" i="1" s="1"/>
  <c r="LD42" i="3"/>
  <c r="LD40" i="3"/>
  <c r="LD41" i="3"/>
  <c r="LE39" i="3"/>
  <c r="LE38" i="3"/>
  <c r="LE37" i="3"/>
  <c r="LE36" i="3"/>
  <c r="LE35" i="3"/>
  <c r="LE34" i="3"/>
  <c r="LE33" i="3"/>
  <c r="LE32" i="3"/>
  <c r="LE61" i="3"/>
  <c r="LE60" i="3"/>
  <c r="LE59" i="3"/>
  <c r="LE58" i="3"/>
  <c r="LE57" i="3"/>
  <c r="LE79" i="3"/>
  <c r="LE78" i="3"/>
  <c r="LE3" i="3"/>
  <c r="LE29" i="3"/>
  <c r="LE26" i="3"/>
  <c r="LE23" i="3"/>
  <c r="LE20" i="3"/>
  <c r="LE19" i="3"/>
  <c r="LE18" i="3"/>
  <c r="FC32" i="1"/>
  <c r="FC31" i="1"/>
  <c r="FC18" i="1"/>
  <c r="FC30" i="1" s="1"/>
  <c r="FC27" i="1" l="1"/>
  <c r="FC28" i="1" s="1"/>
  <c r="FC29" i="1"/>
  <c r="LE42" i="3"/>
  <c r="LE40" i="3"/>
  <c r="LE41" i="3"/>
  <c r="LF39" i="3"/>
  <c r="LF38" i="3"/>
  <c r="LF37" i="3"/>
  <c r="LF36" i="3"/>
  <c r="LF35" i="3"/>
  <c r="LF34" i="3"/>
  <c r="LF33" i="3"/>
  <c r="LF32" i="3"/>
  <c r="LF61" i="3"/>
  <c r="LF60" i="3"/>
  <c r="LF59" i="3"/>
  <c r="LF58" i="3"/>
  <c r="LF57" i="3"/>
  <c r="LF79" i="3"/>
  <c r="LF78" i="3"/>
  <c r="LF3" i="3"/>
  <c r="LF29" i="3"/>
  <c r="LF26" i="3"/>
  <c r="LF24" i="3"/>
  <c r="LG24" i="3"/>
  <c r="LH24" i="3"/>
  <c r="LI24" i="3"/>
  <c r="LJ24" i="3"/>
  <c r="LK24" i="3"/>
  <c r="LL24" i="3"/>
  <c r="LM24" i="3"/>
  <c r="LF23" i="3"/>
  <c r="LF20" i="3"/>
  <c r="LF19" i="3"/>
  <c r="LF18" i="3"/>
  <c r="FD32" i="1"/>
  <c r="FD31" i="1"/>
  <c r="FD18" i="1"/>
  <c r="FD30" i="1" s="1"/>
  <c r="FD29" i="1" l="1"/>
  <c r="FD27" i="1"/>
  <c r="FD28" i="1" s="1"/>
  <c r="LF40" i="3"/>
  <c r="LF42" i="3"/>
  <c r="LF41" i="3"/>
  <c r="LG39" i="3"/>
  <c r="LG38" i="3"/>
  <c r="LG37" i="3"/>
  <c r="LG36" i="3"/>
  <c r="LG35" i="3"/>
  <c r="LG34" i="3"/>
  <c r="LG33" i="3"/>
  <c r="LG32" i="3"/>
  <c r="LG61" i="3"/>
  <c r="LG60" i="3"/>
  <c r="LG59" i="3"/>
  <c r="LG58" i="3"/>
  <c r="LG57" i="3"/>
  <c r="LG80" i="3"/>
  <c r="LG79" i="3"/>
  <c r="LG78" i="3"/>
  <c r="LG3" i="3"/>
  <c r="LG29" i="3"/>
  <c r="LG26" i="3"/>
  <c r="LG23" i="3"/>
  <c r="LG20" i="3"/>
  <c r="LG19" i="3"/>
  <c r="LG18" i="3"/>
  <c r="FE32" i="1"/>
  <c r="FE31" i="1"/>
  <c r="FE18" i="1"/>
  <c r="FE27" i="1" s="1"/>
  <c r="FE28" i="1" s="1"/>
  <c r="LG40" i="3" l="1"/>
  <c r="FE29" i="1"/>
  <c r="FE30" i="1"/>
  <c r="LG42" i="3"/>
  <c r="LG41" i="3"/>
  <c r="LH39" i="3"/>
  <c r="LH38" i="3"/>
  <c r="LH37" i="3"/>
  <c r="LH36" i="3"/>
  <c r="LH35" i="3"/>
  <c r="LH34" i="3"/>
  <c r="LH33" i="3"/>
  <c r="LH32" i="3"/>
  <c r="LH61" i="3"/>
  <c r="LH60" i="3"/>
  <c r="LH59" i="3"/>
  <c r="LH58" i="3"/>
  <c r="LH57" i="3"/>
  <c r="LH80" i="3"/>
  <c r="LH79" i="3"/>
  <c r="LH78" i="3"/>
  <c r="LH3" i="3"/>
  <c r="LH29" i="3"/>
  <c r="LH26" i="3"/>
  <c r="LH23" i="3"/>
  <c r="LH20" i="3"/>
  <c r="LH19" i="3"/>
  <c r="LH18" i="3"/>
  <c r="FF32" i="1"/>
  <c r="FF31" i="1"/>
  <c r="FF18" i="1"/>
  <c r="FF29" i="1" s="1"/>
  <c r="FF27" i="1" l="1"/>
  <c r="FF28" i="1" s="1"/>
  <c r="FF30" i="1"/>
  <c r="LH40" i="3"/>
  <c r="LH42" i="3"/>
  <c r="LH41" i="3"/>
  <c r="LJ3" i="3"/>
  <c r="LI39" i="3"/>
  <c r="LI38" i="3"/>
  <c r="LI37" i="3"/>
  <c r="LI36" i="3"/>
  <c r="LI35" i="3"/>
  <c r="LI34" i="3"/>
  <c r="LI33" i="3"/>
  <c r="LI32" i="3"/>
  <c r="LI61" i="3"/>
  <c r="LI60" i="3"/>
  <c r="LI59" i="3"/>
  <c r="LI58" i="3"/>
  <c r="LI57" i="3"/>
  <c r="LI80" i="3"/>
  <c r="LI79" i="3"/>
  <c r="LI78" i="3"/>
  <c r="LI3" i="3"/>
  <c r="LI29" i="3"/>
  <c r="LI26" i="3"/>
  <c r="LI23" i="3"/>
  <c r="LI20" i="3"/>
  <c r="LI19" i="3"/>
  <c r="LI18" i="3"/>
  <c r="FG32" i="1"/>
  <c r="FG31" i="1"/>
  <c r="FG18" i="1"/>
  <c r="FG30" i="1" s="1"/>
  <c r="FG27" i="1" l="1"/>
  <c r="FG28" i="1" s="1"/>
  <c r="FG29" i="1"/>
  <c r="LI42" i="3"/>
  <c r="LI40" i="3"/>
  <c r="LI41" i="3"/>
  <c r="LJ39" i="3"/>
  <c r="LJ38" i="3"/>
  <c r="LJ37" i="3"/>
  <c r="LJ36" i="3"/>
  <c r="LJ35" i="3"/>
  <c r="LJ34" i="3"/>
  <c r="LJ33" i="3"/>
  <c r="LJ32" i="3"/>
  <c r="LJ61" i="3"/>
  <c r="LJ60" i="3"/>
  <c r="LJ59" i="3"/>
  <c r="LJ58" i="3"/>
  <c r="LJ57" i="3"/>
  <c r="LJ80" i="3"/>
  <c r="LJ79" i="3"/>
  <c r="LJ78" i="3"/>
  <c r="LJ29" i="3"/>
  <c r="LJ26" i="3"/>
  <c r="LJ23" i="3"/>
  <c r="LJ20" i="3"/>
  <c r="LJ19" i="3"/>
  <c r="LJ18" i="3"/>
  <c r="FH36" i="1"/>
  <c r="FH32" i="1"/>
  <c r="FH31" i="1"/>
  <c r="FH18" i="1"/>
  <c r="FH30" i="1" s="1"/>
  <c r="FH27" i="1" l="1"/>
  <c r="FH28" i="1" s="1"/>
  <c r="FH29" i="1"/>
  <c r="LJ42" i="3"/>
  <c r="LJ40" i="3"/>
  <c r="LJ41" i="3"/>
  <c r="LK80" i="3"/>
  <c r="LK39" i="3"/>
  <c r="LK38" i="3"/>
  <c r="LK37" i="3"/>
  <c r="LK36" i="3"/>
  <c r="LK35" i="3"/>
  <c r="LK34" i="3"/>
  <c r="LK33" i="3"/>
  <c r="LK32" i="3"/>
  <c r="LK61" i="3"/>
  <c r="LK60" i="3"/>
  <c r="LK59" i="3"/>
  <c r="LK58" i="3"/>
  <c r="LK57" i="3"/>
  <c r="LL80" i="3"/>
  <c r="LK79" i="3"/>
  <c r="LK78" i="3"/>
  <c r="LK3" i="3"/>
  <c r="LK29" i="3"/>
  <c r="LK26" i="3"/>
  <c r="LK23" i="3"/>
  <c r="LK20" i="3"/>
  <c r="LK19" i="3"/>
  <c r="LK18" i="3"/>
  <c r="LL19" i="3"/>
  <c r="LL20" i="3"/>
  <c r="LL23" i="3"/>
  <c r="LL26" i="3"/>
  <c r="LL29" i="3"/>
  <c r="FI36" i="1"/>
  <c r="FJ36" i="1"/>
  <c r="FK36" i="1"/>
  <c r="FL36" i="1"/>
  <c r="FI31" i="1"/>
  <c r="FJ31" i="1"/>
  <c r="FI32" i="1"/>
  <c r="FI18" i="1"/>
  <c r="FI27" i="1" s="1"/>
  <c r="FI28" i="1" s="1"/>
  <c r="FI29" i="1" l="1"/>
  <c r="FI30" i="1"/>
  <c r="LK40" i="3"/>
  <c r="LK42" i="3"/>
  <c r="LK41" i="3"/>
  <c r="LL3" i="3"/>
  <c r="LL39" i="3"/>
  <c r="LL38" i="3"/>
  <c r="LL37" i="3"/>
  <c r="LL36" i="3"/>
  <c r="LL35" i="3"/>
  <c r="LL34" i="3"/>
  <c r="LL33" i="3"/>
  <c r="LL32" i="3"/>
  <c r="LL61" i="3"/>
  <c r="LL60" i="3"/>
  <c r="LL59" i="3"/>
  <c r="LL58" i="3"/>
  <c r="LL57" i="3"/>
  <c r="LL79" i="3"/>
  <c r="LL78" i="3"/>
  <c r="LL18" i="3"/>
  <c r="FJ32" i="1"/>
  <c r="FJ18" i="1"/>
  <c r="FJ27" i="1" s="1"/>
  <c r="FJ28" i="1" s="1"/>
  <c r="FJ29" i="1" l="1"/>
  <c r="FJ30" i="1"/>
  <c r="LL40" i="3"/>
  <c r="LL42" i="3"/>
  <c r="LL41" i="3"/>
  <c r="LM39" i="3"/>
  <c r="LM38" i="3"/>
  <c r="LM37" i="3"/>
  <c r="LM36" i="3"/>
  <c r="LM35" i="3"/>
  <c r="LM34" i="3"/>
  <c r="LM33" i="3"/>
  <c r="LM32" i="3"/>
  <c r="LM61" i="3"/>
  <c r="LM60" i="3"/>
  <c r="LM59" i="3"/>
  <c r="LM58" i="3"/>
  <c r="LM57" i="3"/>
  <c r="LM80" i="3"/>
  <c r="LM79" i="3"/>
  <c r="LM78" i="3"/>
  <c r="LM3" i="3"/>
  <c r="LM29" i="3"/>
  <c r="LM26" i="3"/>
  <c r="LM23" i="3"/>
  <c r="LM20" i="3"/>
  <c r="LM19" i="3"/>
  <c r="LM18" i="3"/>
  <c r="FL35" i="1"/>
  <c r="FK35" i="1"/>
  <c r="FK32" i="1"/>
  <c r="FK31" i="1"/>
  <c r="FK18" i="1"/>
  <c r="FK30" i="1" s="1"/>
  <c r="FK29" i="1" l="1"/>
  <c r="FK27" i="1"/>
  <c r="FK28" i="1" s="1"/>
  <c r="LM40" i="3"/>
  <c r="LM42" i="3"/>
  <c r="LM41" i="3"/>
  <c r="LN61" i="3"/>
  <c r="LN60" i="3"/>
  <c r="LN59" i="3"/>
  <c r="LN58" i="3"/>
  <c r="LN57" i="3"/>
  <c r="FL32" i="1"/>
  <c r="FL31" i="1"/>
  <c r="FL18" i="1"/>
  <c r="FL29" i="1" s="1"/>
  <c r="LN3" i="3"/>
  <c r="LN39" i="3"/>
  <c r="LN38" i="3"/>
  <c r="LN37" i="3"/>
  <c r="LN36" i="3"/>
  <c r="LN35" i="3"/>
  <c r="LN34" i="3"/>
  <c r="LN33" i="3"/>
  <c r="LN32" i="3"/>
  <c r="LN80" i="3"/>
  <c r="LN79" i="3"/>
  <c r="LN78" i="3"/>
  <c r="LN29" i="3"/>
  <c r="LN26" i="3"/>
  <c r="LN24" i="3"/>
  <c r="LN23" i="3"/>
  <c r="LN20" i="3"/>
  <c r="LN19" i="3"/>
  <c r="LN18" i="3"/>
  <c r="FL27" i="1" l="1"/>
  <c r="FL28" i="1" s="1"/>
  <c r="FL30" i="1"/>
  <c r="LN41" i="3"/>
  <c r="LN40" i="3"/>
  <c r="LN42" i="3"/>
  <c r="LP26" i="3"/>
  <c r="LO26" i="3"/>
  <c r="LO39" i="3"/>
  <c r="LO38" i="3"/>
  <c r="LO37" i="3"/>
  <c r="LO36" i="3"/>
  <c r="LO35" i="3"/>
  <c r="LO34" i="3"/>
  <c r="LO33" i="3"/>
  <c r="LO32" i="3"/>
  <c r="LO61" i="3"/>
  <c r="LO60" i="3"/>
  <c r="LO59" i="3"/>
  <c r="LO58" i="3"/>
  <c r="LO57" i="3"/>
  <c r="LO80" i="3"/>
  <c r="LO79" i="3"/>
  <c r="LO78" i="3"/>
  <c r="LO24" i="3"/>
  <c r="LO23" i="3"/>
  <c r="LO20" i="3"/>
  <c r="LO19" i="3"/>
  <c r="LO18" i="3"/>
  <c r="FM32" i="1"/>
  <c r="FM31" i="1"/>
  <c r="FM18" i="1"/>
  <c r="FM29" i="1" s="1"/>
  <c r="FM30" i="1" l="1"/>
  <c r="FM27" i="1"/>
  <c r="FM28" i="1" s="1"/>
  <c r="LO40" i="3"/>
  <c r="LO41" i="3"/>
  <c r="LO42" i="3"/>
  <c r="LP39" i="3"/>
  <c r="LP38" i="3"/>
  <c r="LP37" i="3"/>
  <c r="LP36" i="3"/>
  <c r="LP35" i="3"/>
  <c r="LP34" i="3"/>
  <c r="LP33" i="3"/>
  <c r="LP32" i="3"/>
  <c r="LP61" i="3"/>
  <c r="LP60" i="3"/>
  <c r="LP59" i="3"/>
  <c r="LP58" i="3"/>
  <c r="LP57" i="3"/>
  <c r="LP80" i="3"/>
  <c r="LP79" i="3"/>
  <c r="LP78" i="3"/>
  <c r="LP24" i="3"/>
  <c r="LP23" i="3"/>
  <c r="LP20" i="3"/>
  <c r="LP19" i="3"/>
  <c r="LP18" i="3"/>
  <c r="FN32" i="1"/>
  <c r="FN31" i="1"/>
  <c r="FN18" i="1"/>
  <c r="FN29" i="1" s="1"/>
  <c r="FN27" i="1"/>
  <c r="FN28" i="1" s="1"/>
  <c r="FN30" i="1" l="1"/>
  <c r="LP40" i="3"/>
  <c r="LP41" i="3"/>
  <c r="LP42" i="3"/>
  <c r="NJ18" i="3"/>
  <c r="NJ19" i="3"/>
  <c r="NJ20" i="3"/>
  <c r="NJ23" i="3"/>
  <c r="NJ32" i="3"/>
  <c r="NJ33" i="3"/>
  <c r="NJ34" i="3"/>
  <c r="NJ35" i="3"/>
  <c r="NJ36" i="3"/>
  <c r="NJ37" i="3"/>
  <c r="NJ38" i="3"/>
  <c r="NJ39" i="3"/>
  <c r="NJ57" i="3"/>
  <c r="NJ58" i="3"/>
  <c r="NJ59" i="3"/>
  <c r="NJ60" i="3"/>
  <c r="NJ61" i="3"/>
  <c r="NJ78" i="3"/>
  <c r="NJ79" i="3"/>
  <c r="NJ80" i="3"/>
  <c r="NI18" i="3"/>
  <c r="NI19" i="3"/>
  <c r="NI20" i="3"/>
  <c r="NI23" i="3"/>
  <c r="NI32" i="3"/>
  <c r="NI33" i="3"/>
  <c r="NI34" i="3"/>
  <c r="NI35" i="3"/>
  <c r="NI36" i="3"/>
  <c r="NI37" i="3"/>
  <c r="NI38" i="3"/>
  <c r="NI39" i="3"/>
  <c r="NI57" i="3"/>
  <c r="NI58" i="3"/>
  <c r="NI59" i="3"/>
  <c r="NI60" i="3"/>
  <c r="NI61" i="3"/>
  <c r="NI78" i="3"/>
  <c r="NI79" i="3"/>
  <c r="NI80" i="3"/>
  <c r="LQ39" i="3"/>
  <c r="LQ38" i="3"/>
  <c r="LQ37" i="3"/>
  <c r="LQ36" i="3"/>
  <c r="LQ35" i="3"/>
  <c r="LQ34" i="3"/>
  <c r="LQ33" i="3"/>
  <c r="LQ32" i="3"/>
  <c r="LR61" i="3"/>
  <c r="LS61" i="3"/>
  <c r="LT61" i="3"/>
  <c r="LU61" i="3"/>
  <c r="LV61" i="3"/>
  <c r="LW61" i="3"/>
  <c r="LX61" i="3"/>
  <c r="LY61" i="3"/>
  <c r="LZ61" i="3"/>
  <c r="MA61" i="3"/>
  <c r="MB61" i="3"/>
  <c r="MC61" i="3"/>
  <c r="MD61" i="3"/>
  <c r="ME61" i="3"/>
  <c r="MF61" i="3"/>
  <c r="MG61" i="3"/>
  <c r="MH61" i="3"/>
  <c r="MI61" i="3"/>
  <c r="MJ61" i="3"/>
  <c r="MK61" i="3"/>
  <c r="ML61" i="3"/>
  <c r="MM61" i="3"/>
  <c r="MN61" i="3"/>
  <c r="MO61" i="3"/>
  <c r="MP61" i="3"/>
  <c r="MQ61" i="3"/>
  <c r="MR61" i="3"/>
  <c r="MS61" i="3"/>
  <c r="MT61" i="3"/>
  <c r="MU61" i="3"/>
  <c r="MV61" i="3"/>
  <c r="MW61" i="3"/>
  <c r="MX61" i="3"/>
  <c r="MY61" i="3"/>
  <c r="MZ61" i="3"/>
  <c r="NA61" i="3"/>
  <c r="NB61" i="3"/>
  <c r="NC61" i="3"/>
  <c r="ND61" i="3"/>
  <c r="NE61" i="3"/>
  <c r="NF61" i="3"/>
  <c r="NG61" i="3"/>
  <c r="NH61" i="3"/>
  <c r="NK61" i="3"/>
  <c r="NL61" i="3"/>
  <c r="NM61" i="3"/>
  <c r="NN61" i="3"/>
  <c r="NO61" i="3"/>
  <c r="NP61" i="3"/>
  <c r="NQ61" i="3"/>
  <c r="NR61" i="3"/>
  <c r="NS61" i="3"/>
  <c r="NT61" i="3"/>
  <c r="NU61" i="3"/>
  <c r="NV61" i="3"/>
  <c r="NW61" i="3"/>
  <c r="NX61" i="3"/>
  <c r="NY61" i="3"/>
  <c r="NZ61" i="3"/>
  <c r="OA61" i="3"/>
  <c r="OB61" i="3"/>
  <c r="OC61" i="3"/>
  <c r="OD61" i="3"/>
  <c r="OE61" i="3"/>
  <c r="OF61" i="3"/>
  <c r="OG61" i="3"/>
  <c r="LQ61" i="3"/>
  <c r="LQ60" i="3"/>
  <c r="LQ59" i="3"/>
  <c r="LQ58" i="3"/>
  <c r="LQ57" i="3"/>
  <c r="LQ80" i="3"/>
  <c r="LQ79" i="3"/>
  <c r="LQ78" i="3"/>
  <c r="LQ24" i="3"/>
  <c r="LQ23" i="3"/>
  <c r="LQ20" i="3"/>
  <c r="LQ19" i="3"/>
  <c r="LQ18" i="3"/>
  <c r="FO32" i="1"/>
  <c r="FO31" i="1"/>
  <c r="FO27" i="1"/>
  <c r="FO28" i="1" s="1"/>
  <c r="FO18" i="1"/>
  <c r="FO30" i="1" s="1"/>
  <c r="FO29" i="1" l="1"/>
  <c r="NJ40" i="3"/>
  <c r="NJ42" i="3"/>
  <c r="LQ42" i="3"/>
  <c r="NI41" i="3"/>
  <c r="NJ41" i="3"/>
  <c r="NI42" i="3"/>
  <c r="NI40" i="3"/>
  <c r="LQ41" i="3"/>
  <c r="LQ40" i="3"/>
  <c r="LR39" i="3"/>
  <c r="LR38" i="3"/>
  <c r="LR37" i="3"/>
  <c r="LR36" i="3"/>
  <c r="LR35" i="3"/>
  <c r="LR34" i="3"/>
  <c r="LR33" i="3"/>
  <c r="LR32" i="3"/>
  <c r="LR60" i="3"/>
  <c r="LR59" i="3"/>
  <c r="LR58" i="3"/>
  <c r="LR57" i="3"/>
  <c r="LR80" i="3"/>
  <c r="LR79" i="3"/>
  <c r="LR78" i="3"/>
  <c r="LR24" i="3"/>
  <c r="LR23" i="3"/>
  <c r="LR20" i="3"/>
  <c r="LR19" i="3"/>
  <c r="LR18" i="3"/>
  <c r="FP32" i="1"/>
  <c r="FP31" i="1"/>
  <c r="FP18" i="1"/>
  <c r="FP30" i="1" s="1"/>
  <c r="FP27" i="1" l="1"/>
  <c r="FP28" i="1" s="1"/>
  <c r="FP29" i="1"/>
  <c r="LR40" i="3"/>
  <c r="LR41" i="3"/>
  <c r="LR42" i="3"/>
  <c r="LS39" i="3"/>
  <c r="LS38" i="3"/>
  <c r="LS37" i="3"/>
  <c r="LS36" i="3"/>
  <c r="LS35" i="3"/>
  <c r="LS34" i="3"/>
  <c r="LS33" i="3"/>
  <c r="LS32" i="3"/>
  <c r="LS60" i="3"/>
  <c r="LS59" i="3"/>
  <c r="LS58" i="3"/>
  <c r="LS57" i="3"/>
  <c r="LS80" i="3"/>
  <c r="LS79" i="3"/>
  <c r="LS78" i="3"/>
  <c r="LS24" i="3"/>
  <c r="LS23" i="3"/>
  <c r="LS20" i="3"/>
  <c r="LS19" i="3"/>
  <c r="LS18" i="3"/>
  <c r="FQ32" i="1"/>
  <c r="FQ31" i="1"/>
  <c r="FQ18" i="1"/>
  <c r="FQ27" i="1" s="1"/>
  <c r="FQ28" i="1" s="1"/>
  <c r="FQ29" i="1" l="1"/>
  <c r="FQ30" i="1"/>
  <c r="LS42" i="3"/>
  <c r="LS41" i="3"/>
  <c r="LS40" i="3"/>
  <c r="LT39" i="3"/>
  <c r="LT38" i="3"/>
  <c r="LT37" i="3"/>
  <c r="LT36" i="3"/>
  <c r="LT35" i="3"/>
  <c r="LT34" i="3"/>
  <c r="LT33" i="3"/>
  <c r="LT32" i="3"/>
  <c r="LT60" i="3"/>
  <c r="LT59" i="3"/>
  <c r="LT58" i="3"/>
  <c r="LT57" i="3"/>
  <c r="LT80" i="3"/>
  <c r="LT79" i="3"/>
  <c r="LT78" i="3"/>
  <c r="LT24" i="3"/>
  <c r="LT23" i="3"/>
  <c r="LT20" i="3"/>
  <c r="LT19" i="3"/>
  <c r="LT18" i="3"/>
  <c r="FR32" i="1"/>
  <c r="FR31" i="1"/>
  <c r="FR18" i="1"/>
  <c r="FR29" i="1" s="1"/>
  <c r="FR30" i="1" l="1"/>
  <c r="FR27" i="1"/>
  <c r="FR28" i="1" s="1"/>
  <c r="LT42" i="3"/>
  <c r="LT40" i="3"/>
  <c r="LT41" i="3"/>
  <c r="LU39" i="3"/>
  <c r="LU38" i="3"/>
  <c r="LU37" i="3"/>
  <c r="LU36" i="3"/>
  <c r="LU35" i="3"/>
  <c r="LU34" i="3"/>
  <c r="LU33" i="3"/>
  <c r="LU32" i="3"/>
  <c r="LU60" i="3"/>
  <c r="LU59" i="3"/>
  <c r="LU58" i="3"/>
  <c r="LU57" i="3"/>
  <c r="LU80" i="3"/>
  <c r="LU79" i="3"/>
  <c r="LU78" i="3"/>
  <c r="LU24" i="3"/>
  <c r="LU23" i="3"/>
  <c r="LU20" i="3"/>
  <c r="LU19" i="3"/>
  <c r="LU18" i="3"/>
  <c r="FS32" i="1"/>
  <c r="FS31" i="1"/>
  <c r="FS18" i="1"/>
  <c r="FS29" i="1" s="1"/>
  <c r="FS30" i="1" l="1"/>
  <c r="FS27" i="1"/>
  <c r="FS28" i="1" s="1"/>
  <c r="LU42" i="3"/>
  <c r="LU40" i="3"/>
  <c r="LU41" i="3"/>
  <c r="MB24" i="3"/>
  <c r="LW24" i="3"/>
  <c r="LX24" i="3"/>
  <c r="LY24" i="3"/>
  <c r="LZ24" i="3"/>
  <c r="MA24" i="3"/>
  <c r="LV24" i="3"/>
  <c r="LV23" i="3"/>
  <c r="LV39" i="3" l="1"/>
  <c r="LV38" i="3"/>
  <c r="LV37" i="3"/>
  <c r="LV36" i="3"/>
  <c r="LV35" i="3"/>
  <c r="LV34" i="3"/>
  <c r="LV33" i="3"/>
  <c r="LV32" i="3"/>
  <c r="LV60" i="3"/>
  <c r="LV59" i="3"/>
  <c r="LV58" i="3"/>
  <c r="LV57" i="3"/>
  <c r="LV80" i="3"/>
  <c r="LV79" i="3"/>
  <c r="LV78" i="3"/>
  <c r="LV20" i="3"/>
  <c r="LV19" i="3"/>
  <c r="LV18" i="3"/>
  <c r="FT32" i="1"/>
  <c r="FT31" i="1"/>
  <c r="FT18" i="1"/>
  <c r="FT30" i="1" s="1"/>
  <c r="FT27" i="1" l="1"/>
  <c r="FT28" i="1" s="1"/>
  <c r="FT29" i="1"/>
  <c r="LV40" i="3"/>
  <c r="LV41" i="3"/>
  <c r="LV42" i="3"/>
  <c r="LW39" i="3"/>
  <c r="LW38" i="3"/>
  <c r="LW37" i="3"/>
  <c r="LW36" i="3"/>
  <c r="LW35" i="3"/>
  <c r="LW34" i="3"/>
  <c r="LW33" i="3"/>
  <c r="LW32" i="3"/>
  <c r="LW60" i="3"/>
  <c r="LW59" i="3"/>
  <c r="LW58" i="3"/>
  <c r="LW57" i="3"/>
  <c r="LW80" i="3"/>
  <c r="LW79" i="3"/>
  <c r="LW78" i="3"/>
  <c r="LW23" i="3"/>
  <c r="LW20" i="3"/>
  <c r="LW19" i="3"/>
  <c r="LW18" i="3"/>
  <c r="FU32" i="1"/>
  <c r="FU31" i="1"/>
  <c r="FU29" i="1"/>
  <c r="FU27" i="1"/>
  <c r="FU28" i="1" s="1"/>
  <c r="FU18" i="1"/>
  <c r="FU30" i="1" s="1"/>
  <c r="LW42" i="3" l="1"/>
  <c r="LW40" i="3"/>
  <c r="LW41" i="3"/>
  <c r="LX39" i="3"/>
  <c r="LX38" i="3"/>
  <c r="LX37" i="3"/>
  <c r="LX36" i="3"/>
  <c r="LX35" i="3"/>
  <c r="LX34" i="3"/>
  <c r="LX33" i="3"/>
  <c r="LX32" i="3"/>
  <c r="LX60" i="3"/>
  <c r="LX59" i="3"/>
  <c r="LX58" i="3"/>
  <c r="LX57" i="3"/>
  <c r="LX80" i="3"/>
  <c r="LX79" i="3"/>
  <c r="LX78" i="3"/>
  <c r="LX23" i="3"/>
  <c r="LX20" i="3"/>
  <c r="LX19" i="3"/>
  <c r="LX18" i="3"/>
  <c r="FW32" i="1"/>
  <c r="FX32" i="1"/>
  <c r="FY32" i="1"/>
  <c r="FZ32" i="1"/>
  <c r="GA32" i="1"/>
  <c r="GB32" i="1"/>
  <c r="GC32" i="1"/>
  <c r="GD32" i="1"/>
  <c r="GE32" i="1"/>
  <c r="GF32" i="1"/>
  <c r="GG32" i="1"/>
  <c r="GH32" i="1"/>
  <c r="GI32" i="1"/>
  <c r="GJ32" i="1"/>
  <c r="GK32" i="1"/>
  <c r="GL32" i="1"/>
  <c r="GM32" i="1"/>
  <c r="GN32" i="1"/>
  <c r="GO32" i="1"/>
  <c r="GP32" i="1"/>
  <c r="GQ32" i="1"/>
  <c r="GR32" i="1"/>
  <c r="GS32" i="1"/>
  <c r="GT32" i="1"/>
  <c r="GU32" i="1"/>
  <c r="GV32" i="1"/>
  <c r="GW32" i="1"/>
  <c r="GX32" i="1"/>
  <c r="GY32" i="1"/>
  <c r="GZ32" i="1"/>
  <c r="HA32" i="1"/>
  <c r="HB32" i="1"/>
  <c r="HC32" i="1"/>
  <c r="HD32" i="1"/>
  <c r="HE32" i="1"/>
  <c r="HF32" i="1"/>
  <c r="HG32" i="1"/>
  <c r="HH32" i="1"/>
  <c r="HI32" i="1"/>
  <c r="HJ32" i="1"/>
  <c r="HK32" i="1"/>
  <c r="HL32" i="1"/>
  <c r="HM32" i="1"/>
  <c r="HN32" i="1"/>
  <c r="HO32" i="1"/>
  <c r="HP32" i="1"/>
  <c r="HQ32" i="1"/>
  <c r="HR32" i="1"/>
  <c r="HS32" i="1"/>
  <c r="HT32" i="1"/>
  <c r="HU32" i="1"/>
  <c r="HV32" i="1"/>
  <c r="HW32" i="1"/>
  <c r="HX32" i="1"/>
  <c r="HY32" i="1"/>
  <c r="HZ32" i="1"/>
  <c r="IA32" i="1"/>
  <c r="IB32" i="1"/>
  <c r="IC32" i="1"/>
  <c r="FV32" i="1"/>
  <c r="FV31" i="1"/>
  <c r="FV18" i="1"/>
  <c r="FV27" i="1" s="1"/>
  <c r="FV28" i="1" s="1"/>
  <c r="FV30" i="1" l="1"/>
  <c r="FV29" i="1"/>
  <c r="LX42" i="3"/>
  <c r="LX40" i="3"/>
  <c r="LX41" i="3"/>
  <c r="LZ23" i="3"/>
  <c r="MA23" i="3"/>
  <c r="MB23" i="3"/>
  <c r="MC23" i="3"/>
  <c r="MD23" i="3"/>
  <c r="ME23" i="3"/>
  <c r="MF23" i="3"/>
  <c r="MG23" i="3"/>
  <c r="MH23" i="3"/>
  <c r="MI23" i="3"/>
  <c r="MJ23" i="3"/>
  <c r="MK23" i="3"/>
  <c r="ML23" i="3"/>
  <c r="MM23" i="3"/>
  <c r="MN23" i="3"/>
  <c r="MO23" i="3"/>
  <c r="MP23" i="3"/>
  <c r="MQ23" i="3"/>
  <c r="MR23" i="3"/>
  <c r="MS23" i="3"/>
  <c r="MT23" i="3"/>
  <c r="MU23" i="3"/>
  <c r="MV23" i="3"/>
  <c r="MW23" i="3"/>
  <c r="MX23" i="3"/>
  <c r="MY23" i="3"/>
  <c r="MZ23" i="3"/>
  <c r="NA23" i="3"/>
  <c r="NB23" i="3"/>
  <c r="NC23" i="3"/>
  <c r="ND23" i="3"/>
  <c r="NE23" i="3"/>
  <c r="NF23" i="3"/>
  <c r="NG23" i="3"/>
  <c r="NH23" i="3"/>
  <c r="NK23" i="3"/>
  <c r="NL23" i="3"/>
  <c r="NM23" i="3"/>
  <c r="NN23" i="3"/>
  <c r="NO23" i="3"/>
  <c r="NP23" i="3"/>
  <c r="NQ23" i="3"/>
  <c r="NR23" i="3"/>
  <c r="NS23" i="3"/>
  <c r="NT23" i="3"/>
  <c r="NU23" i="3"/>
  <c r="NV23" i="3"/>
  <c r="NW23" i="3"/>
  <c r="NX23" i="3"/>
  <c r="NY23" i="3"/>
  <c r="NZ23" i="3"/>
  <c r="OA23" i="3"/>
  <c r="OB23" i="3"/>
  <c r="OC23" i="3"/>
  <c r="OD23" i="3"/>
  <c r="OE23" i="3"/>
  <c r="OF23" i="3"/>
  <c r="OG23" i="3"/>
  <c r="LY23" i="3"/>
  <c r="LY39" i="3"/>
  <c r="LY38" i="3"/>
  <c r="LY37" i="3"/>
  <c r="LY36" i="3"/>
  <c r="LY35" i="3"/>
  <c r="LY34" i="3"/>
  <c r="LY33" i="3"/>
  <c r="LY32" i="3"/>
  <c r="LY60" i="3"/>
  <c r="LY59" i="3"/>
  <c r="LY58" i="3"/>
  <c r="LY57" i="3"/>
  <c r="LY80" i="3"/>
  <c r="LY79" i="3"/>
  <c r="LY78" i="3"/>
  <c r="LY20" i="3"/>
  <c r="LY19" i="3"/>
  <c r="LY18" i="3"/>
  <c r="FW31" i="1"/>
  <c r="FW18" i="1"/>
  <c r="FW29" i="1" s="1"/>
  <c r="FW30" i="1" l="1"/>
  <c r="FW27" i="1"/>
  <c r="FW28" i="1" s="1"/>
  <c r="LY41" i="3"/>
  <c r="LY42" i="3"/>
  <c r="LY40" i="3"/>
  <c r="LZ39" i="3"/>
  <c r="LZ38" i="3"/>
  <c r="LZ37" i="3"/>
  <c r="LZ36" i="3"/>
  <c r="LZ35" i="3"/>
  <c r="LZ34" i="3"/>
  <c r="LZ33" i="3"/>
  <c r="LZ32" i="3"/>
  <c r="LZ60" i="3"/>
  <c r="LZ59" i="3"/>
  <c r="LZ58" i="3"/>
  <c r="LZ57" i="3"/>
  <c r="LZ80" i="3"/>
  <c r="LZ79" i="3"/>
  <c r="LZ78" i="3"/>
  <c r="LZ20" i="3"/>
  <c r="LZ19" i="3"/>
  <c r="LZ18" i="3"/>
  <c r="FX31" i="1"/>
  <c r="FX18" i="1"/>
  <c r="FX30" i="1" s="1"/>
  <c r="FX27" i="1" l="1"/>
  <c r="FX28" i="1" s="1"/>
  <c r="FX29" i="1"/>
  <c r="LZ42" i="3"/>
  <c r="LZ40" i="3"/>
  <c r="LZ41" i="3"/>
  <c r="FY31" i="1"/>
  <c r="FY29" i="1"/>
  <c r="FY27" i="1"/>
  <c r="FY28" i="1" s="1"/>
  <c r="FY18" i="1"/>
  <c r="FY30" i="1" s="1"/>
  <c r="MA39" i="3"/>
  <c r="MA38" i="3"/>
  <c r="MA37" i="3"/>
  <c r="MA36" i="3"/>
  <c r="MA35" i="3"/>
  <c r="MA34" i="3"/>
  <c r="MA33" i="3"/>
  <c r="MA32" i="3"/>
  <c r="MA60" i="3"/>
  <c r="MA59" i="3"/>
  <c r="MA58" i="3"/>
  <c r="MA57" i="3"/>
  <c r="MA80" i="3"/>
  <c r="MB80" i="3"/>
  <c r="MA79" i="3"/>
  <c r="MA78" i="3"/>
  <c r="MA20" i="3"/>
  <c r="MA19" i="3"/>
  <c r="MA18" i="3"/>
  <c r="MB39" i="3"/>
  <c r="MB38" i="3"/>
  <c r="MB37" i="3"/>
  <c r="MB36" i="3"/>
  <c r="MB35" i="3"/>
  <c r="MB34" i="3"/>
  <c r="MB33" i="3"/>
  <c r="MB32" i="3"/>
  <c r="MB60" i="3"/>
  <c r="MB59" i="3"/>
  <c r="MB58" i="3"/>
  <c r="MB57" i="3"/>
  <c r="MB79" i="3"/>
  <c r="MB78" i="3"/>
  <c r="MA40" i="3" l="1"/>
  <c r="MA41" i="3"/>
  <c r="MB42" i="3"/>
  <c r="MB40" i="3"/>
  <c r="MA42" i="3"/>
  <c r="MB41" i="3"/>
  <c r="GB31" i="1"/>
  <c r="GC31" i="1"/>
  <c r="GD31" i="1"/>
  <c r="GE31" i="1"/>
  <c r="GF31" i="1"/>
  <c r="GG31" i="1"/>
  <c r="GH31" i="1"/>
  <c r="GI31" i="1"/>
  <c r="GJ31" i="1"/>
  <c r="GK31" i="1"/>
  <c r="GL31" i="1"/>
  <c r="GM31" i="1"/>
  <c r="GN31" i="1"/>
  <c r="GO31" i="1"/>
  <c r="GP31" i="1"/>
  <c r="GQ31" i="1"/>
  <c r="GR31" i="1"/>
  <c r="GS31" i="1"/>
  <c r="GT31" i="1"/>
  <c r="GU31" i="1"/>
  <c r="GV31" i="1"/>
  <c r="GW31" i="1"/>
  <c r="GX31" i="1"/>
  <c r="GY31" i="1"/>
  <c r="GZ31" i="1"/>
  <c r="HA31" i="1"/>
  <c r="HB31" i="1"/>
  <c r="HC31" i="1"/>
  <c r="HD31" i="1"/>
  <c r="HE31" i="1"/>
  <c r="HF31" i="1"/>
  <c r="HG31" i="1"/>
  <c r="HH31" i="1"/>
  <c r="HI31" i="1"/>
  <c r="HJ31" i="1"/>
  <c r="HK31" i="1"/>
  <c r="HL31" i="1"/>
  <c r="HM31" i="1"/>
  <c r="HN31" i="1"/>
  <c r="HO31" i="1"/>
  <c r="HP31" i="1"/>
  <c r="HQ31" i="1"/>
  <c r="HR31" i="1"/>
  <c r="HS31" i="1"/>
  <c r="HT31" i="1"/>
  <c r="HU31" i="1"/>
  <c r="HV31" i="1"/>
  <c r="HW31" i="1"/>
  <c r="HX31" i="1"/>
  <c r="HY31" i="1"/>
  <c r="HZ31" i="1"/>
  <c r="IA31" i="1"/>
  <c r="IB31" i="1"/>
  <c r="IC31" i="1"/>
  <c r="GA31" i="1"/>
  <c r="FZ31" i="1"/>
  <c r="MB20" i="3"/>
  <c r="MB19" i="3"/>
  <c r="MB18" i="3"/>
  <c r="FZ18" i="1"/>
  <c r="FZ27" i="1" s="1"/>
  <c r="FZ28" i="1" s="1"/>
  <c r="GA18" i="1"/>
  <c r="GA29" i="1" s="1"/>
  <c r="FZ29" i="1" l="1"/>
  <c r="GA27" i="1"/>
  <c r="GA28" i="1" s="1"/>
  <c r="GA30" i="1"/>
  <c r="FZ30" i="1"/>
  <c r="MC39" i="3"/>
  <c r="MC38" i="3"/>
  <c r="MC37" i="3"/>
  <c r="MC36" i="3"/>
  <c r="MC35" i="3"/>
  <c r="MC34" i="3"/>
  <c r="MC33" i="3"/>
  <c r="MC32" i="3"/>
  <c r="MC60" i="3"/>
  <c r="MC59" i="3"/>
  <c r="MC58" i="3"/>
  <c r="MC57" i="3"/>
  <c r="MC80" i="3"/>
  <c r="MC79" i="3"/>
  <c r="MC78" i="3"/>
  <c r="MC20" i="3"/>
  <c r="MC19" i="3"/>
  <c r="MC18" i="3"/>
  <c r="MC40" i="3" l="1"/>
  <c r="MC41" i="3"/>
  <c r="MC42" i="3"/>
  <c r="MD39" i="3"/>
  <c r="MD38" i="3"/>
  <c r="MD37" i="3"/>
  <c r="MD36" i="3"/>
  <c r="MD35" i="3"/>
  <c r="MD34" i="3"/>
  <c r="MD33" i="3"/>
  <c r="MD32" i="3"/>
  <c r="MD60" i="3"/>
  <c r="MD59" i="3"/>
  <c r="MD58" i="3"/>
  <c r="MD57" i="3"/>
  <c r="MD80" i="3"/>
  <c r="MD79" i="3"/>
  <c r="MD78" i="3"/>
  <c r="MD20" i="3"/>
  <c r="MD19" i="3"/>
  <c r="MD18" i="3"/>
  <c r="GB18" i="1"/>
  <c r="GB27" i="1" s="1"/>
  <c r="GB28" i="1" s="1"/>
  <c r="GB29" i="1" l="1"/>
  <c r="MD42" i="3"/>
  <c r="MD40" i="3"/>
  <c r="MD41" i="3"/>
  <c r="GB30" i="1"/>
  <c r="ME39" i="3"/>
  <c r="ME38" i="3"/>
  <c r="ME37" i="3"/>
  <c r="ME36" i="3"/>
  <c r="ME35" i="3"/>
  <c r="ME34" i="3"/>
  <c r="ME33" i="3"/>
  <c r="ME32" i="3"/>
  <c r="ME60" i="3"/>
  <c r="ME59" i="3"/>
  <c r="ME58" i="3"/>
  <c r="ME57" i="3"/>
  <c r="ME80" i="3"/>
  <c r="ME79" i="3"/>
  <c r="ME78" i="3"/>
  <c r="ME20" i="3"/>
  <c r="ME19" i="3"/>
  <c r="ME18" i="3"/>
  <c r="GC18" i="1"/>
  <c r="GC27" i="1" s="1"/>
  <c r="GC28" i="1" s="1"/>
  <c r="ME40" i="3" l="1"/>
  <c r="ME42" i="3"/>
  <c r="ME41" i="3"/>
  <c r="GC29" i="1"/>
  <c r="GC30" i="1"/>
  <c r="MF39" i="3"/>
  <c r="MF38" i="3"/>
  <c r="MF37" i="3"/>
  <c r="MF36" i="3"/>
  <c r="MF35" i="3"/>
  <c r="MF34" i="3"/>
  <c r="MF33" i="3"/>
  <c r="MF32" i="3"/>
  <c r="MF60" i="3"/>
  <c r="MF59" i="3"/>
  <c r="MF58" i="3"/>
  <c r="MF57" i="3"/>
  <c r="MF80" i="3"/>
  <c r="MF79" i="3"/>
  <c r="MF78" i="3"/>
  <c r="MF20" i="3"/>
  <c r="MF19" i="3"/>
  <c r="MF18" i="3"/>
  <c r="MG39" i="3"/>
  <c r="MG38" i="3"/>
  <c r="MG37" i="3"/>
  <c r="MG36" i="3"/>
  <c r="MG35" i="3"/>
  <c r="MG34" i="3"/>
  <c r="MG33" i="3"/>
  <c r="MG32" i="3"/>
  <c r="MG60" i="3"/>
  <c r="MG59" i="3"/>
  <c r="MG58" i="3"/>
  <c r="MG57" i="3"/>
  <c r="MG80" i="3"/>
  <c r="MG79" i="3"/>
  <c r="MG78" i="3"/>
  <c r="MG20" i="3"/>
  <c r="MG19" i="3"/>
  <c r="MG18" i="3"/>
  <c r="GD18" i="1"/>
  <c r="GD30" i="1" s="1"/>
  <c r="GD27" i="1" l="1"/>
  <c r="GD28" i="1" s="1"/>
  <c r="GD29" i="1"/>
  <c r="MG42" i="3"/>
  <c r="MF41" i="3"/>
  <c r="MG40" i="3"/>
  <c r="MF40" i="3"/>
  <c r="MF42" i="3"/>
  <c r="MG41" i="3"/>
  <c r="GE18" i="1"/>
  <c r="GE30" i="1" s="1"/>
  <c r="GE27" i="1" l="1"/>
  <c r="GE28" i="1" s="1"/>
  <c r="GE29" i="1"/>
  <c r="MH39" i="3"/>
  <c r="MH38" i="3"/>
  <c r="MH37" i="3"/>
  <c r="MH36" i="3"/>
  <c r="MH35" i="3"/>
  <c r="MH34" i="3"/>
  <c r="MH33" i="3"/>
  <c r="MH32" i="3"/>
  <c r="MH60" i="3"/>
  <c r="MH59" i="3"/>
  <c r="MH58" i="3"/>
  <c r="MH57" i="3"/>
  <c r="MH80" i="3"/>
  <c r="MH79" i="3"/>
  <c r="MH78" i="3"/>
  <c r="MH20" i="3"/>
  <c r="MH19" i="3"/>
  <c r="MH18" i="3"/>
  <c r="GF18" i="1"/>
  <c r="GF27" i="1" s="1"/>
  <c r="GF28" i="1" s="1"/>
  <c r="GF29" i="1" l="1"/>
  <c r="MH40" i="3"/>
  <c r="MH41" i="3"/>
  <c r="MH42" i="3"/>
  <c r="GF30" i="1"/>
  <c r="MI39" i="3"/>
  <c r="MI38" i="3"/>
  <c r="MI37" i="3"/>
  <c r="MI36" i="3"/>
  <c r="MI35" i="3"/>
  <c r="MI34" i="3"/>
  <c r="MI33" i="3"/>
  <c r="MI32" i="3"/>
  <c r="MI60" i="3"/>
  <c r="MI59" i="3"/>
  <c r="MI58" i="3"/>
  <c r="MI57" i="3"/>
  <c r="MI80" i="3"/>
  <c r="MI79" i="3"/>
  <c r="MI78" i="3"/>
  <c r="MI20" i="3"/>
  <c r="MI19" i="3"/>
  <c r="MI18" i="3"/>
  <c r="GG18" i="1"/>
  <c r="GG27" i="1" s="1"/>
  <c r="GG28" i="1" s="1"/>
  <c r="MI40" i="3" l="1"/>
  <c r="MI42" i="3"/>
  <c r="MI41" i="3"/>
  <c r="GG30" i="1"/>
  <c r="GG29" i="1"/>
  <c r="MJ39" i="3"/>
  <c r="MJ38" i="3"/>
  <c r="MJ37" i="3"/>
  <c r="MJ36" i="3"/>
  <c r="MJ35" i="3"/>
  <c r="MJ34" i="3"/>
  <c r="MJ33" i="3"/>
  <c r="MJ32" i="3"/>
  <c r="MJ60" i="3"/>
  <c r="MJ59" i="3"/>
  <c r="MJ58" i="3"/>
  <c r="MJ57" i="3"/>
  <c r="MJ80" i="3"/>
  <c r="MJ79" i="3"/>
  <c r="MJ78" i="3"/>
  <c r="MJ20" i="3"/>
  <c r="MJ19" i="3"/>
  <c r="MJ18" i="3"/>
  <c r="GH18" i="1"/>
  <c r="GH29" i="1" s="1"/>
  <c r="MJ40" i="3" l="1"/>
  <c r="MJ42" i="3"/>
  <c r="MJ41" i="3"/>
  <c r="GH30" i="1"/>
  <c r="GH27" i="1"/>
  <c r="GH28" i="1" s="1"/>
  <c r="MK39" i="3"/>
  <c r="MK38" i="3"/>
  <c r="MK37" i="3"/>
  <c r="MK36" i="3"/>
  <c r="MK35" i="3"/>
  <c r="MK34" i="3"/>
  <c r="MK33" i="3"/>
  <c r="MK32" i="3"/>
  <c r="MK60" i="3"/>
  <c r="MK59" i="3"/>
  <c r="MK58" i="3"/>
  <c r="MK57" i="3"/>
  <c r="MK80" i="3"/>
  <c r="MK79" i="3"/>
  <c r="MK78" i="3"/>
  <c r="MK20" i="3"/>
  <c r="MK19" i="3"/>
  <c r="MK18" i="3"/>
  <c r="GI18" i="1"/>
  <c r="GI27" i="1" s="1"/>
  <c r="GI28" i="1" s="1"/>
  <c r="MK41" i="3" l="1"/>
  <c r="MK42" i="3"/>
  <c r="MK40" i="3"/>
  <c r="GI29" i="1"/>
  <c r="GI30" i="1"/>
  <c r="ML39" i="3"/>
  <c r="ML38" i="3"/>
  <c r="ML37" i="3"/>
  <c r="ML36" i="3"/>
  <c r="ML35" i="3"/>
  <c r="ML34" i="3"/>
  <c r="ML33" i="3"/>
  <c r="ML32" i="3"/>
  <c r="ML60" i="3"/>
  <c r="ML59" i="3"/>
  <c r="ML58" i="3"/>
  <c r="ML57" i="3"/>
  <c r="ML80" i="3"/>
  <c r="ML79" i="3"/>
  <c r="ML78" i="3"/>
  <c r="ML20" i="3"/>
  <c r="ML19" i="3"/>
  <c r="ML18" i="3"/>
  <c r="GJ18" i="1"/>
  <c r="GJ27" i="1" s="1"/>
  <c r="GJ28" i="1" s="1"/>
  <c r="GJ29" i="1" l="1"/>
  <c r="ML41" i="3"/>
  <c r="ML42" i="3"/>
  <c r="ML40" i="3"/>
  <c r="GJ30" i="1"/>
  <c r="MM39" i="3"/>
  <c r="MM38" i="3"/>
  <c r="MM37" i="3"/>
  <c r="MM36" i="3"/>
  <c r="MM35" i="3"/>
  <c r="MM34" i="3"/>
  <c r="MM33" i="3"/>
  <c r="MM32" i="3"/>
  <c r="MM60" i="3"/>
  <c r="MM59" i="3"/>
  <c r="MM58" i="3"/>
  <c r="MM57" i="3"/>
  <c r="MM80" i="3"/>
  <c r="MM79" i="3"/>
  <c r="MM78" i="3"/>
  <c r="MM20" i="3"/>
  <c r="MM19" i="3"/>
  <c r="MM18" i="3"/>
  <c r="GK18" i="1"/>
  <c r="GK30" i="1" s="1"/>
  <c r="GK27" i="1" l="1"/>
  <c r="GK28" i="1" s="1"/>
  <c r="GK29" i="1"/>
  <c r="MM42" i="3"/>
  <c r="MM41" i="3"/>
  <c r="MM40" i="3"/>
  <c r="MN39" i="3"/>
  <c r="MN38" i="3"/>
  <c r="MN37" i="3"/>
  <c r="MN36" i="3"/>
  <c r="MN35" i="3"/>
  <c r="MN34" i="3"/>
  <c r="MN33" i="3"/>
  <c r="MN32" i="3"/>
  <c r="MN60" i="3"/>
  <c r="MN59" i="3"/>
  <c r="MN58" i="3"/>
  <c r="MN57" i="3"/>
  <c r="MN80" i="3"/>
  <c r="MN79" i="3"/>
  <c r="MN78" i="3"/>
  <c r="MN20" i="3"/>
  <c r="MN19" i="3"/>
  <c r="MN18" i="3"/>
  <c r="GL18" i="1"/>
  <c r="GL27" i="1" s="1"/>
  <c r="GL28" i="1" s="1"/>
  <c r="GL29" i="1" l="1"/>
  <c r="MN41" i="3"/>
  <c r="MN42" i="3"/>
  <c r="GL30" i="1"/>
  <c r="MN40" i="3"/>
  <c r="MO39" i="3"/>
  <c r="MO38" i="3"/>
  <c r="MO37" i="3"/>
  <c r="MO36" i="3"/>
  <c r="MO35" i="3"/>
  <c r="MO34" i="3"/>
  <c r="MO33" i="3"/>
  <c r="MO32" i="3"/>
  <c r="MO60" i="3"/>
  <c r="MO59" i="3"/>
  <c r="MO58" i="3"/>
  <c r="MO57" i="3"/>
  <c r="MO80" i="3"/>
  <c r="MO79" i="3"/>
  <c r="MO78" i="3"/>
  <c r="MO20" i="3"/>
  <c r="MO19" i="3"/>
  <c r="MO18" i="3"/>
  <c r="GM18" i="1"/>
  <c r="GM30" i="1" s="1"/>
  <c r="GM29" i="1" l="1"/>
  <c r="GM27" i="1"/>
  <c r="GM28" i="1" s="1"/>
  <c r="MO40" i="3"/>
  <c r="MO41" i="3"/>
  <c r="MO42" i="3"/>
  <c r="MP39" i="3"/>
  <c r="MP38" i="3"/>
  <c r="MP37" i="3"/>
  <c r="MP36" i="3"/>
  <c r="MP35" i="3"/>
  <c r="MP34" i="3"/>
  <c r="MP33" i="3"/>
  <c r="MP32" i="3"/>
  <c r="MP60" i="3"/>
  <c r="MP59" i="3"/>
  <c r="MP58" i="3"/>
  <c r="MP57" i="3"/>
  <c r="MP80" i="3"/>
  <c r="MP79" i="3"/>
  <c r="MP78" i="3"/>
  <c r="MP20" i="3"/>
  <c r="MP19" i="3"/>
  <c r="MP18" i="3"/>
  <c r="GN18" i="1"/>
  <c r="GN27" i="1" s="1"/>
  <c r="GN28" i="1" s="1"/>
  <c r="GN29" i="1" l="1"/>
  <c r="MP40" i="3"/>
  <c r="GN30" i="1"/>
  <c r="MP42" i="3"/>
  <c r="MP41" i="3"/>
  <c r="MQ39" i="3"/>
  <c r="MQ38" i="3"/>
  <c r="MQ37" i="3"/>
  <c r="MQ36" i="3"/>
  <c r="MQ35" i="3"/>
  <c r="MQ34" i="3"/>
  <c r="MQ33" i="3"/>
  <c r="MQ32" i="3"/>
  <c r="MQ60" i="3"/>
  <c r="MQ59" i="3"/>
  <c r="MQ58" i="3"/>
  <c r="MQ57" i="3"/>
  <c r="MQ80" i="3"/>
  <c r="MQ79" i="3"/>
  <c r="MQ78" i="3"/>
  <c r="MQ20" i="3"/>
  <c r="MQ19" i="3"/>
  <c r="MQ18" i="3"/>
  <c r="GO18" i="1"/>
  <c r="GO27" i="1" s="1"/>
  <c r="GO28" i="1" s="1"/>
  <c r="GO29" i="1" l="1"/>
  <c r="MQ41" i="3"/>
  <c r="GO30" i="1"/>
  <c r="MQ42" i="3"/>
  <c r="MQ40" i="3"/>
  <c r="MR39" i="3"/>
  <c r="MR38" i="3"/>
  <c r="MR37" i="3"/>
  <c r="MR36" i="3"/>
  <c r="MR35" i="3"/>
  <c r="MR34" i="3"/>
  <c r="MR33" i="3"/>
  <c r="MR32" i="3"/>
  <c r="MR60" i="3"/>
  <c r="MR59" i="3"/>
  <c r="MR58" i="3"/>
  <c r="MR57" i="3"/>
  <c r="MR80" i="3"/>
  <c r="MR79" i="3"/>
  <c r="MR78" i="3"/>
  <c r="MR20" i="3"/>
  <c r="MR19" i="3"/>
  <c r="MR18" i="3"/>
  <c r="GP18" i="1"/>
  <c r="GP27" i="1" s="1"/>
  <c r="GP28" i="1" s="1"/>
  <c r="GP29" i="1" l="1"/>
  <c r="MR41" i="3"/>
  <c r="MR42" i="3"/>
  <c r="GP30" i="1"/>
  <c r="MR40" i="3"/>
  <c r="MS39" i="3"/>
  <c r="MS38" i="3"/>
  <c r="MS37" i="3"/>
  <c r="MS36" i="3"/>
  <c r="MS35" i="3"/>
  <c r="MS34" i="3"/>
  <c r="MS33" i="3"/>
  <c r="MS32" i="3"/>
  <c r="MS60" i="3"/>
  <c r="MS59" i="3"/>
  <c r="MS58" i="3"/>
  <c r="MS57" i="3"/>
  <c r="MS80" i="3"/>
  <c r="MS79" i="3"/>
  <c r="MS78" i="3"/>
  <c r="MS20" i="3"/>
  <c r="MS19" i="3"/>
  <c r="MS18" i="3"/>
  <c r="GQ29" i="1"/>
  <c r="GQ18" i="1"/>
  <c r="GQ30" i="1" s="1"/>
  <c r="GQ27" i="1" l="1"/>
  <c r="GQ28" i="1" s="1"/>
  <c r="MS40" i="3"/>
  <c r="MS41" i="3"/>
  <c r="MS42" i="3"/>
  <c r="MT39" i="3"/>
  <c r="MT38" i="3"/>
  <c r="MT37" i="3"/>
  <c r="MT36" i="3"/>
  <c r="MT35" i="3"/>
  <c r="MT34" i="3"/>
  <c r="MT33" i="3"/>
  <c r="MT32" i="3"/>
  <c r="MT60" i="3"/>
  <c r="MT59" i="3"/>
  <c r="MT58" i="3"/>
  <c r="MT57" i="3"/>
  <c r="MT80" i="3"/>
  <c r="MT79" i="3"/>
  <c r="MT78" i="3"/>
  <c r="MT20" i="3"/>
  <c r="MT19" i="3"/>
  <c r="MT18" i="3"/>
  <c r="GR18" i="1"/>
  <c r="GR30" i="1" s="1"/>
  <c r="GR27" i="1" l="1"/>
  <c r="GR28" i="1" s="1"/>
  <c r="GR29" i="1"/>
  <c r="MT42" i="3"/>
  <c r="MT40" i="3"/>
  <c r="MT41" i="3"/>
  <c r="MU39" i="3"/>
  <c r="MU38" i="3"/>
  <c r="MU37" i="3"/>
  <c r="MU36" i="3"/>
  <c r="MU35" i="3"/>
  <c r="MU34" i="3"/>
  <c r="MU33" i="3"/>
  <c r="MU32" i="3"/>
  <c r="MU60" i="3"/>
  <c r="MU59" i="3"/>
  <c r="MU58" i="3"/>
  <c r="MU57" i="3"/>
  <c r="MU80" i="3"/>
  <c r="MU79" i="3"/>
  <c r="MU78" i="3"/>
  <c r="MU20" i="3"/>
  <c r="MU19" i="3"/>
  <c r="MU18" i="3"/>
  <c r="GS18" i="1"/>
  <c r="GS30" i="1" s="1"/>
  <c r="GS27" i="1" l="1"/>
  <c r="GS28" i="1" s="1"/>
  <c r="GS29" i="1"/>
  <c r="MU41" i="3"/>
  <c r="MU42" i="3"/>
  <c r="MU40" i="3"/>
  <c r="MW35" i="3"/>
  <c r="MX35" i="3"/>
  <c r="MY35" i="3"/>
  <c r="MZ35" i="3"/>
  <c r="NA35" i="3"/>
  <c r="NB35" i="3"/>
  <c r="NC35" i="3"/>
  <c r="ND35" i="3"/>
  <c r="NE35" i="3"/>
  <c r="NF35" i="3"/>
  <c r="NG35" i="3"/>
  <c r="NH35" i="3"/>
  <c r="NK35" i="3"/>
  <c r="NL35" i="3"/>
  <c r="NM35" i="3"/>
  <c r="NN35" i="3"/>
  <c r="NO35" i="3"/>
  <c r="NP35" i="3"/>
  <c r="NQ35" i="3"/>
  <c r="NR35" i="3"/>
  <c r="NS35" i="3"/>
  <c r="NT35" i="3"/>
  <c r="NU35" i="3"/>
  <c r="NV35" i="3"/>
  <c r="NW35" i="3"/>
  <c r="NX35" i="3"/>
  <c r="NY35" i="3"/>
  <c r="NZ35" i="3"/>
  <c r="OA35" i="3"/>
  <c r="OB35" i="3"/>
  <c r="OC35" i="3"/>
  <c r="OD35" i="3"/>
  <c r="OE35" i="3"/>
  <c r="OF35" i="3"/>
  <c r="OG35" i="3"/>
  <c r="MV35" i="3"/>
  <c r="MW39" i="3"/>
  <c r="MX39" i="3"/>
  <c r="MY39" i="3"/>
  <c r="MZ39" i="3"/>
  <c r="NA39" i="3"/>
  <c r="NB39" i="3"/>
  <c r="NC39" i="3"/>
  <c r="ND39" i="3"/>
  <c r="NE39" i="3"/>
  <c r="NF39" i="3"/>
  <c r="NG39" i="3"/>
  <c r="NH39" i="3"/>
  <c r="NK39" i="3"/>
  <c r="NL39" i="3"/>
  <c r="NM39" i="3"/>
  <c r="NN39" i="3"/>
  <c r="NO39" i="3"/>
  <c r="NP39" i="3"/>
  <c r="NQ39" i="3"/>
  <c r="NR39" i="3"/>
  <c r="NS39" i="3"/>
  <c r="NT39" i="3"/>
  <c r="NU39" i="3"/>
  <c r="NV39" i="3"/>
  <c r="NW39" i="3"/>
  <c r="NX39" i="3"/>
  <c r="NY39" i="3"/>
  <c r="NZ39" i="3"/>
  <c r="OA39" i="3"/>
  <c r="OB39" i="3"/>
  <c r="OC39" i="3"/>
  <c r="OD39" i="3"/>
  <c r="OE39" i="3"/>
  <c r="OF39" i="3"/>
  <c r="OG39" i="3"/>
  <c r="MV39" i="3"/>
  <c r="MW38" i="3"/>
  <c r="MX38" i="3"/>
  <c r="MY38" i="3"/>
  <c r="MZ38" i="3"/>
  <c r="NA38" i="3"/>
  <c r="NB38" i="3"/>
  <c r="NC38" i="3"/>
  <c r="ND38" i="3"/>
  <c r="NE38" i="3"/>
  <c r="NF38" i="3"/>
  <c r="NG38" i="3"/>
  <c r="NH38" i="3"/>
  <c r="NK38" i="3"/>
  <c r="NL38" i="3"/>
  <c r="NM38" i="3"/>
  <c r="NN38" i="3"/>
  <c r="NO38" i="3"/>
  <c r="NP38" i="3"/>
  <c r="NQ38" i="3"/>
  <c r="NR38" i="3"/>
  <c r="NS38" i="3"/>
  <c r="NT38" i="3"/>
  <c r="NU38" i="3"/>
  <c r="NV38" i="3"/>
  <c r="NW38" i="3"/>
  <c r="NX38" i="3"/>
  <c r="NY38" i="3"/>
  <c r="NZ38" i="3"/>
  <c r="OA38" i="3"/>
  <c r="OB38" i="3"/>
  <c r="OC38" i="3"/>
  <c r="OD38" i="3"/>
  <c r="OE38" i="3"/>
  <c r="OF38" i="3"/>
  <c r="OG38" i="3"/>
  <c r="MV38" i="3"/>
  <c r="MW37" i="3"/>
  <c r="MX37" i="3"/>
  <c r="MY37" i="3"/>
  <c r="MZ37" i="3"/>
  <c r="NA37" i="3"/>
  <c r="NB37" i="3"/>
  <c r="NC37" i="3"/>
  <c r="ND37" i="3"/>
  <c r="NE37" i="3"/>
  <c r="NF37" i="3"/>
  <c r="NG37" i="3"/>
  <c r="NH37" i="3"/>
  <c r="NK37" i="3"/>
  <c r="NL37" i="3"/>
  <c r="NM37" i="3"/>
  <c r="NN37" i="3"/>
  <c r="NO37" i="3"/>
  <c r="NP37" i="3"/>
  <c r="NQ37" i="3"/>
  <c r="NR37" i="3"/>
  <c r="NS37" i="3"/>
  <c r="NT37" i="3"/>
  <c r="NU37" i="3"/>
  <c r="NV37" i="3"/>
  <c r="NW37" i="3"/>
  <c r="NX37" i="3"/>
  <c r="NY37" i="3"/>
  <c r="NZ37" i="3"/>
  <c r="OA37" i="3"/>
  <c r="OB37" i="3"/>
  <c r="OC37" i="3"/>
  <c r="OD37" i="3"/>
  <c r="OE37" i="3"/>
  <c r="OF37" i="3"/>
  <c r="OG37" i="3"/>
  <c r="MV37" i="3"/>
  <c r="MW36" i="3"/>
  <c r="MX36" i="3"/>
  <c r="MX42" i="3" s="1"/>
  <c r="MY36" i="3"/>
  <c r="MZ36" i="3"/>
  <c r="NA36" i="3"/>
  <c r="NB36" i="3"/>
  <c r="NB42" i="3" s="1"/>
  <c r="NC36" i="3"/>
  <c r="ND36" i="3"/>
  <c r="NE36" i="3"/>
  <c r="NF36" i="3"/>
  <c r="NF42" i="3" s="1"/>
  <c r="NG36" i="3"/>
  <c r="NH36" i="3"/>
  <c r="NK36" i="3"/>
  <c r="NL36" i="3"/>
  <c r="NM36" i="3"/>
  <c r="NN36" i="3"/>
  <c r="NO36" i="3"/>
  <c r="NP36" i="3"/>
  <c r="NQ36" i="3"/>
  <c r="NR36" i="3"/>
  <c r="NS36" i="3"/>
  <c r="NT36" i="3"/>
  <c r="NU36" i="3"/>
  <c r="NV36" i="3"/>
  <c r="NW36" i="3"/>
  <c r="NX36" i="3"/>
  <c r="NY36" i="3"/>
  <c r="NZ36" i="3"/>
  <c r="OA36" i="3"/>
  <c r="OB36" i="3"/>
  <c r="OC36" i="3"/>
  <c r="OD36" i="3"/>
  <c r="OE36" i="3"/>
  <c r="OF36" i="3"/>
  <c r="OG36" i="3"/>
  <c r="MV36" i="3"/>
  <c r="MW34" i="3"/>
  <c r="MX34" i="3"/>
  <c r="MY34" i="3"/>
  <c r="MZ34" i="3"/>
  <c r="NA34" i="3"/>
  <c r="NB34" i="3"/>
  <c r="NC34" i="3"/>
  <c r="ND34" i="3"/>
  <c r="NE34" i="3"/>
  <c r="NF34" i="3"/>
  <c r="NG34" i="3"/>
  <c r="NH34" i="3"/>
  <c r="NK34" i="3"/>
  <c r="NL34" i="3"/>
  <c r="NM34" i="3"/>
  <c r="NN34" i="3"/>
  <c r="NO34" i="3"/>
  <c r="NP34" i="3"/>
  <c r="NQ34" i="3"/>
  <c r="NR34" i="3"/>
  <c r="NS34" i="3"/>
  <c r="NT34" i="3"/>
  <c r="NU34" i="3"/>
  <c r="NV34" i="3"/>
  <c r="NW34" i="3"/>
  <c r="NX34" i="3"/>
  <c r="NY34" i="3"/>
  <c r="NZ34" i="3"/>
  <c r="OA34" i="3"/>
  <c r="OB34" i="3"/>
  <c r="OC34" i="3"/>
  <c r="OD34" i="3"/>
  <c r="OE34" i="3"/>
  <c r="OF34" i="3"/>
  <c r="OG34" i="3"/>
  <c r="MV34" i="3"/>
  <c r="MW33" i="3"/>
  <c r="MX33" i="3"/>
  <c r="MY33" i="3"/>
  <c r="MZ33" i="3"/>
  <c r="NA33" i="3"/>
  <c r="NB33" i="3"/>
  <c r="NC33" i="3"/>
  <c r="ND33" i="3"/>
  <c r="NE33" i="3"/>
  <c r="NF33" i="3"/>
  <c r="NG33" i="3"/>
  <c r="NH33" i="3"/>
  <c r="NK33" i="3"/>
  <c r="NL33" i="3"/>
  <c r="NM33" i="3"/>
  <c r="NN33" i="3"/>
  <c r="NO33" i="3"/>
  <c r="NP33" i="3"/>
  <c r="NQ33" i="3"/>
  <c r="NR33" i="3"/>
  <c r="NS33" i="3"/>
  <c r="NT33" i="3"/>
  <c r="NU33" i="3"/>
  <c r="NV33" i="3"/>
  <c r="NW33" i="3"/>
  <c r="NX33" i="3"/>
  <c r="NY33" i="3"/>
  <c r="NZ33" i="3"/>
  <c r="OA33" i="3"/>
  <c r="OB33" i="3"/>
  <c r="OC33" i="3"/>
  <c r="OD33" i="3"/>
  <c r="OE33" i="3"/>
  <c r="OF33" i="3"/>
  <c r="OG33" i="3"/>
  <c r="MV33" i="3"/>
  <c r="MW32" i="3"/>
  <c r="MX32" i="3"/>
  <c r="MY32" i="3"/>
  <c r="MZ32" i="3"/>
  <c r="NA32" i="3"/>
  <c r="NB32" i="3"/>
  <c r="NC32" i="3"/>
  <c r="ND32" i="3"/>
  <c r="NE32" i="3"/>
  <c r="NF32" i="3"/>
  <c r="NG32" i="3"/>
  <c r="NH32" i="3"/>
  <c r="NK32" i="3"/>
  <c r="NL32" i="3"/>
  <c r="NM32" i="3"/>
  <c r="NN32" i="3"/>
  <c r="NO32" i="3"/>
  <c r="NP32" i="3"/>
  <c r="NQ32" i="3"/>
  <c r="NR32" i="3"/>
  <c r="NS32" i="3"/>
  <c r="NT32" i="3"/>
  <c r="NU32" i="3"/>
  <c r="NV32" i="3"/>
  <c r="NW32" i="3"/>
  <c r="NX32" i="3"/>
  <c r="NY32" i="3"/>
  <c r="NZ32" i="3"/>
  <c r="OA32" i="3"/>
  <c r="OB32" i="3"/>
  <c r="OC32" i="3"/>
  <c r="OD32" i="3"/>
  <c r="OE32" i="3"/>
  <c r="OF32" i="3"/>
  <c r="OG32" i="3"/>
  <c r="MV32" i="3"/>
  <c r="MV60" i="3"/>
  <c r="MV59" i="3"/>
  <c r="MV58" i="3"/>
  <c r="MV57" i="3"/>
  <c r="MV80" i="3"/>
  <c r="MV79" i="3"/>
  <c r="MV78" i="3"/>
  <c r="MV20" i="3"/>
  <c r="MV19" i="3"/>
  <c r="MV18" i="3"/>
  <c r="GT18" i="1"/>
  <c r="GT30" i="1" s="1"/>
  <c r="GT27" i="1" l="1"/>
  <c r="GT28" i="1" s="1"/>
  <c r="GT29" i="1"/>
  <c r="OB41" i="3"/>
  <c r="NL41" i="3"/>
  <c r="NX41" i="3"/>
  <c r="NT41" i="3"/>
  <c r="NH41" i="3"/>
  <c r="ND41" i="3"/>
  <c r="MZ41" i="3"/>
  <c r="OF41" i="3"/>
  <c r="NP41" i="3"/>
  <c r="MV42" i="3"/>
  <c r="OD42" i="3"/>
  <c r="NZ42" i="3"/>
  <c r="NV42" i="3"/>
  <c r="NR42" i="3"/>
  <c r="NN42" i="3"/>
  <c r="MV41" i="3"/>
  <c r="OD41" i="3"/>
  <c r="NZ41" i="3"/>
  <c r="NV41" i="3"/>
  <c r="NR41" i="3"/>
  <c r="NN41" i="3"/>
  <c r="NF41" i="3"/>
  <c r="NB41" i="3"/>
  <c r="MX41" i="3"/>
  <c r="OF40" i="3"/>
  <c r="OB40" i="3"/>
  <c r="NX40" i="3"/>
  <c r="NT40" i="3"/>
  <c r="NP40" i="3"/>
  <c r="NL40" i="3"/>
  <c r="NH40" i="3"/>
  <c r="ND40" i="3"/>
  <c r="MZ40" i="3"/>
  <c r="OG41" i="3"/>
  <c r="OC41" i="3"/>
  <c r="NY41" i="3"/>
  <c r="NU41" i="3"/>
  <c r="NQ41" i="3"/>
  <c r="NM41" i="3"/>
  <c r="NE41" i="3"/>
  <c r="NA41" i="3"/>
  <c r="MW41" i="3"/>
  <c r="OE40" i="3"/>
  <c r="OA40" i="3"/>
  <c r="NW40" i="3"/>
  <c r="NS40" i="3"/>
  <c r="NO40" i="3"/>
  <c r="NK40" i="3"/>
  <c r="NG40" i="3"/>
  <c r="NC40" i="3"/>
  <c r="MY40" i="3"/>
  <c r="OG42" i="3"/>
  <c r="OC42" i="3"/>
  <c r="NY42" i="3"/>
  <c r="NU42" i="3"/>
  <c r="NQ42" i="3"/>
  <c r="NM42" i="3"/>
  <c r="NE42" i="3"/>
  <c r="NA42" i="3"/>
  <c r="MW42" i="3"/>
  <c r="MV40" i="3"/>
  <c r="OD40" i="3"/>
  <c r="NZ40" i="3"/>
  <c r="NV40" i="3"/>
  <c r="NR40" i="3"/>
  <c r="NN40" i="3"/>
  <c r="NF40" i="3"/>
  <c r="NB40" i="3"/>
  <c r="MX40" i="3"/>
  <c r="OF42" i="3"/>
  <c r="OB42" i="3"/>
  <c r="NX42" i="3"/>
  <c r="NT42" i="3"/>
  <c r="NP42" i="3"/>
  <c r="NL42" i="3"/>
  <c r="NH42" i="3"/>
  <c r="ND42" i="3"/>
  <c r="MZ42" i="3"/>
  <c r="OE41" i="3"/>
  <c r="OA41" i="3"/>
  <c r="NW41" i="3"/>
  <c r="NS41" i="3"/>
  <c r="NO41" i="3"/>
  <c r="NK41" i="3"/>
  <c r="NG41" i="3"/>
  <c r="NC41" i="3"/>
  <c r="MY41" i="3"/>
  <c r="OG40" i="3"/>
  <c r="OC40" i="3"/>
  <c r="NY40" i="3"/>
  <c r="NU40" i="3"/>
  <c r="NQ40" i="3"/>
  <c r="NM40" i="3"/>
  <c r="NE40" i="3"/>
  <c r="NA40" i="3"/>
  <c r="MW40" i="3"/>
  <c r="OE42" i="3"/>
  <c r="OA42" i="3"/>
  <c r="NW42" i="3"/>
  <c r="NS42" i="3"/>
  <c r="NO42" i="3"/>
  <c r="NK42" i="3"/>
  <c r="NG42" i="3"/>
  <c r="NC42" i="3"/>
  <c r="MY42" i="3"/>
  <c r="MW60" i="3"/>
  <c r="MW59" i="3"/>
  <c r="MW58" i="3"/>
  <c r="MW57" i="3"/>
  <c r="MW80" i="3"/>
  <c r="MW79" i="3"/>
  <c r="MW78" i="3"/>
  <c r="MW20" i="3"/>
  <c r="MW19" i="3"/>
  <c r="MW18" i="3"/>
  <c r="GU29" i="1"/>
  <c r="GU18" i="1"/>
  <c r="GU27" i="1" s="1"/>
  <c r="GU28" i="1" s="1"/>
  <c r="GU30" i="1" l="1"/>
  <c r="MX80" i="3"/>
  <c r="MX79" i="3"/>
  <c r="MX78" i="3"/>
  <c r="MX60" i="3"/>
  <c r="MX59" i="3"/>
  <c r="MX58" i="3"/>
  <c r="MX57" i="3"/>
  <c r="MX20" i="3"/>
  <c r="MX19" i="3"/>
  <c r="MX18" i="3"/>
  <c r="GV18" i="1"/>
  <c r="GV29" i="1" s="1"/>
  <c r="GV30" i="1" l="1"/>
  <c r="GV27" i="1"/>
  <c r="GV28" i="1" s="1"/>
  <c r="MY59" i="3"/>
  <c r="MY58" i="3"/>
  <c r="MY60" i="3"/>
  <c r="MY80" i="3"/>
  <c r="MY79" i="3"/>
  <c r="MY78" i="3"/>
  <c r="MY57" i="3"/>
  <c r="MY20" i="3"/>
  <c r="MY19" i="3"/>
  <c r="MY18" i="3"/>
  <c r="GW18" i="1"/>
  <c r="GW27" i="1" s="1"/>
  <c r="GW28" i="1" s="1"/>
  <c r="GW29" i="1" l="1"/>
  <c r="GW30" i="1"/>
  <c r="MZ80" i="3"/>
  <c r="MZ79" i="3"/>
  <c r="MZ78" i="3"/>
  <c r="MZ60" i="3"/>
  <c r="MZ59" i="3"/>
  <c r="MZ58" i="3"/>
  <c r="MZ57" i="3"/>
  <c r="MZ20" i="3"/>
  <c r="MZ19" i="3"/>
  <c r="MZ18" i="3"/>
  <c r="GX18" i="1"/>
  <c r="GX30" i="1" s="1"/>
  <c r="GX27" i="1" l="1"/>
  <c r="GX28" i="1" s="1"/>
  <c r="GX29" i="1"/>
  <c r="NC60" i="3"/>
  <c r="NC59" i="3"/>
  <c r="NC58" i="3"/>
  <c r="NC57" i="3"/>
  <c r="NA80" i="3"/>
  <c r="NA79" i="3"/>
  <c r="NA78" i="3"/>
  <c r="NA60" i="3"/>
  <c r="NA59" i="3"/>
  <c r="NA58" i="3"/>
  <c r="NA57" i="3"/>
  <c r="NA20" i="3"/>
  <c r="NA19" i="3"/>
  <c r="NA18" i="3"/>
  <c r="GY18" i="1"/>
  <c r="GY29" i="1" s="1"/>
  <c r="GY30" i="1" l="1"/>
  <c r="GY27" i="1"/>
  <c r="GY28" i="1" s="1"/>
  <c r="NB60" i="3"/>
  <c r="NB59" i="3"/>
  <c r="NB58" i="3"/>
  <c r="NB57" i="3"/>
  <c r="NB80" i="3"/>
  <c r="NB79" i="3"/>
  <c r="NB78" i="3"/>
  <c r="NB20" i="3"/>
  <c r="NB19" i="3"/>
  <c r="NB18" i="3"/>
  <c r="GZ18" i="1"/>
  <c r="GZ30" i="1" s="1"/>
  <c r="GZ29" i="1" l="1"/>
  <c r="GZ27" i="1"/>
  <c r="GZ28" i="1" s="1"/>
  <c r="NC80" i="3"/>
  <c r="NC79" i="3"/>
  <c r="NC78" i="3"/>
  <c r="NC20" i="3"/>
  <c r="NC19" i="3"/>
  <c r="NC18" i="3"/>
  <c r="HA18" i="1"/>
  <c r="HA30" i="1" s="1"/>
  <c r="HA29" i="1" l="1"/>
  <c r="HA27" i="1"/>
  <c r="HA28" i="1" s="1"/>
  <c r="ND60" i="3"/>
  <c r="ND59" i="3"/>
  <c r="ND58" i="3"/>
  <c r="ND57" i="3"/>
  <c r="ND80" i="3"/>
  <c r="ND79" i="3"/>
  <c r="ND78" i="3"/>
  <c r="ND20" i="3"/>
  <c r="ND19" i="3"/>
  <c r="ND18" i="3"/>
  <c r="HB18" i="1"/>
  <c r="HB30" i="1" s="1"/>
  <c r="HB27" i="1" l="1"/>
  <c r="HB28" i="1" s="1"/>
  <c r="HB29" i="1"/>
  <c r="NH80" i="3"/>
  <c r="NH79" i="3"/>
  <c r="NF78" i="3"/>
  <c r="NG78" i="3"/>
  <c r="NH78" i="3"/>
  <c r="NG80" i="3"/>
  <c r="NG79" i="3"/>
  <c r="NF80" i="3"/>
  <c r="NF79" i="3"/>
  <c r="NE80" i="3"/>
  <c r="NE79" i="3"/>
  <c r="NE78" i="3"/>
  <c r="OG60" i="3"/>
  <c r="OG59" i="3"/>
  <c r="OG58" i="3"/>
  <c r="OG57" i="3"/>
  <c r="OF60" i="3"/>
  <c r="OF59" i="3"/>
  <c r="OF58" i="3"/>
  <c r="OF57" i="3"/>
  <c r="OE60" i="3"/>
  <c r="OE59" i="3"/>
  <c r="OE58" i="3"/>
  <c r="OE57" i="3"/>
  <c r="OD60" i="3"/>
  <c r="OD59" i="3"/>
  <c r="OD58" i="3"/>
  <c r="OD57" i="3"/>
  <c r="OC60" i="3"/>
  <c r="OC59" i="3"/>
  <c r="OC58" i="3"/>
  <c r="OC57" i="3"/>
  <c r="OB60" i="3"/>
  <c r="OB59" i="3"/>
  <c r="OB57" i="3"/>
  <c r="OA60" i="3"/>
  <c r="OA59" i="3"/>
  <c r="OA58" i="3"/>
  <c r="OA57" i="3"/>
  <c r="NZ60" i="3"/>
  <c r="NZ59" i="3"/>
  <c r="NZ58" i="3"/>
  <c r="NZ57" i="3"/>
  <c r="NY60" i="3"/>
  <c r="NY59" i="3"/>
  <c r="NY58" i="3"/>
  <c r="NY57" i="3"/>
  <c r="NX60" i="3"/>
  <c r="NX59" i="3"/>
  <c r="NX58" i="3"/>
  <c r="NX57" i="3"/>
  <c r="NW60" i="3"/>
  <c r="NW59" i="3"/>
  <c r="NW58" i="3"/>
  <c r="NW57" i="3"/>
  <c r="NV60" i="3"/>
  <c r="NV59" i="3"/>
  <c r="NV58" i="3"/>
  <c r="NV57" i="3"/>
  <c r="NU60" i="3"/>
  <c r="NU59" i="3"/>
  <c r="NU58" i="3"/>
  <c r="NU57" i="3"/>
  <c r="NT60" i="3"/>
  <c r="NT59" i="3"/>
  <c r="NT58" i="3"/>
  <c r="NT57" i="3"/>
  <c r="NS60" i="3"/>
  <c r="NS59" i="3"/>
  <c r="NS58" i="3"/>
  <c r="NS57" i="3"/>
  <c r="NR60" i="3"/>
  <c r="NR59" i="3"/>
  <c r="NR58" i="3"/>
  <c r="NR57" i="3"/>
  <c r="NQ60" i="3"/>
  <c r="NQ59" i="3"/>
  <c r="NQ58" i="3"/>
  <c r="NQ57" i="3"/>
  <c r="NP60" i="3"/>
  <c r="NP59" i="3"/>
  <c r="NP58" i="3"/>
  <c r="NP57" i="3"/>
  <c r="NO60" i="3"/>
  <c r="NO59" i="3"/>
  <c r="NO58" i="3"/>
  <c r="NO57" i="3"/>
  <c r="NN60" i="3"/>
  <c r="NN59" i="3"/>
  <c r="NN58" i="3"/>
  <c r="NN57" i="3"/>
  <c r="NM60" i="3"/>
  <c r="NM59" i="3"/>
  <c r="NM58" i="3"/>
  <c r="NM57" i="3"/>
  <c r="NL59" i="3"/>
  <c r="NL58" i="3"/>
  <c r="NL57" i="3"/>
  <c r="NL60" i="3"/>
  <c r="NK60" i="3"/>
  <c r="NK59" i="3"/>
  <c r="NK58" i="3"/>
  <c r="NK57" i="3"/>
  <c r="NH60" i="3"/>
  <c r="NH59" i="3"/>
  <c r="NH58" i="3"/>
  <c r="NH57" i="3"/>
  <c r="NG60" i="3"/>
  <c r="NG59" i="3"/>
  <c r="NG58" i="3"/>
  <c r="NG57" i="3"/>
  <c r="NF60" i="3"/>
  <c r="NF58" i="3"/>
  <c r="NE58" i="3"/>
  <c r="NE60" i="3"/>
  <c r="NF59" i="3"/>
  <c r="NF57" i="3"/>
  <c r="NE59" i="3"/>
  <c r="NE57" i="3"/>
  <c r="NF18" i="3"/>
  <c r="NG18" i="3"/>
  <c r="NH18" i="3"/>
  <c r="NK18" i="3"/>
  <c r="NL18" i="3"/>
  <c r="NM18" i="3"/>
  <c r="NN18" i="3"/>
  <c r="NO18" i="3"/>
  <c r="NP18" i="3"/>
  <c r="NQ18" i="3"/>
  <c r="NR18" i="3"/>
  <c r="NS18" i="3"/>
  <c r="NT18" i="3"/>
  <c r="NU18" i="3"/>
  <c r="NV18" i="3"/>
  <c r="NW18" i="3"/>
  <c r="NX18" i="3"/>
  <c r="NY18" i="3"/>
  <c r="NZ18" i="3"/>
  <c r="OA18" i="3"/>
  <c r="OB18" i="3"/>
  <c r="OC18" i="3"/>
  <c r="OD18" i="3"/>
  <c r="OE18" i="3"/>
  <c r="OF18" i="3"/>
  <c r="OG18" i="3"/>
  <c r="NE20" i="3"/>
  <c r="NE19" i="3"/>
  <c r="NE18" i="3"/>
  <c r="HC18" i="1"/>
  <c r="HC27" i="1" s="1"/>
  <c r="HC28" i="1" s="1"/>
  <c r="HC29" i="1" l="1"/>
  <c r="HC30" i="1"/>
  <c r="NG20" i="3"/>
  <c r="NH20" i="3"/>
  <c r="NK20" i="3"/>
  <c r="NL20" i="3"/>
  <c r="NM20" i="3"/>
  <c r="NN20" i="3"/>
  <c r="NO20" i="3"/>
  <c r="NP20" i="3"/>
  <c r="NQ20" i="3"/>
  <c r="NR20" i="3"/>
  <c r="NS20" i="3"/>
  <c r="NT20" i="3"/>
  <c r="NU20" i="3"/>
  <c r="NV20" i="3"/>
  <c r="NW20" i="3"/>
  <c r="NX20" i="3"/>
  <c r="NY20" i="3"/>
  <c r="NZ20" i="3"/>
  <c r="OA20" i="3"/>
  <c r="OB20" i="3"/>
  <c r="OC20" i="3"/>
  <c r="OD20" i="3"/>
  <c r="OE20" i="3"/>
  <c r="OF20" i="3"/>
  <c r="OG20" i="3"/>
  <c r="NF20" i="3"/>
  <c r="NG19" i="3"/>
  <c r="NH19" i="3"/>
  <c r="NK19" i="3"/>
  <c r="NL19" i="3"/>
  <c r="NM19" i="3"/>
  <c r="NN19" i="3"/>
  <c r="NO19" i="3"/>
  <c r="NP19" i="3"/>
  <c r="NQ19" i="3"/>
  <c r="NR19" i="3"/>
  <c r="NS19" i="3"/>
  <c r="NT19" i="3"/>
  <c r="NU19" i="3"/>
  <c r="NV19" i="3"/>
  <c r="NW19" i="3"/>
  <c r="NX19" i="3"/>
  <c r="NY19" i="3"/>
  <c r="NZ19" i="3"/>
  <c r="OA19" i="3"/>
  <c r="OB19" i="3"/>
  <c r="OC19" i="3"/>
  <c r="OD19" i="3"/>
  <c r="OE19" i="3"/>
  <c r="OF19" i="3"/>
  <c r="OG19" i="3"/>
  <c r="NF19" i="3"/>
  <c r="HE18" i="1"/>
  <c r="HE29" i="1" s="1"/>
  <c r="HE27" i="1"/>
  <c r="HE28" i="1" s="1"/>
  <c r="HW27" i="1"/>
  <c r="HX27" i="1"/>
  <c r="HY27" i="1"/>
  <c r="HZ27" i="1"/>
  <c r="IA27" i="1"/>
  <c r="IB27" i="1"/>
  <c r="IC27" i="1"/>
  <c r="HE30" i="1"/>
  <c r="HD18" i="1"/>
  <c r="HD30" i="1" s="1"/>
  <c r="HD29" i="1" l="1"/>
  <c r="HD27" i="1"/>
  <c r="HD28" i="1" s="1"/>
  <c r="HW30" i="1"/>
  <c r="HX30" i="1"/>
  <c r="HY30" i="1"/>
  <c r="HZ30" i="1"/>
  <c r="IA30" i="1"/>
  <c r="IB30" i="1"/>
  <c r="IC30" i="1"/>
  <c r="HW29" i="1"/>
  <c r="HX29" i="1"/>
  <c r="HY29" i="1"/>
  <c r="HZ29" i="1"/>
  <c r="IA29" i="1"/>
  <c r="IB29" i="1"/>
  <c r="IC29" i="1"/>
  <c r="HW28" i="1"/>
  <c r="HX28" i="1"/>
  <c r="HY28" i="1"/>
  <c r="HZ28" i="1"/>
  <c r="IA28" i="1"/>
  <c r="IB28" i="1"/>
  <c r="IC28" i="1"/>
  <c r="HF30" i="1"/>
  <c r="HF18" i="1"/>
  <c r="HF27" i="1" s="1"/>
  <c r="HF28" i="1" s="1"/>
  <c r="HF29" i="1" l="1"/>
  <c r="HG18" i="1"/>
  <c r="HG27" i="1" l="1"/>
  <c r="HG28" i="1" s="1"/>
  <c r="HG30" i="1"/>
  <c r="HG29" i="1"/>
  <c r="HH18" i="1"/>
  <c r="HH27" i="1" l="1"/>
  <c r="HH28" i="1" s="1"/>
  <c r="HH30" i="1"/>
  <c r="HH29" i="1"/>
  <c r="HI18" i="1"/>
  <c r="HI27" i="1" l="1"/>
  <c r="HI28" i="1" s="1"/>
  <c r="HI30" i="1"/>
  <c r="HI29" i="1"/>
  <c r="HJ18" i="1"/>
  <c r="HK18" i="1"/>
  <c r="HL18" i="1"/>
  <c r="HJ27" i="1" l="1"/>
  <c r="HJ28" i="1" s="1"/>
  <c r="HJ29" i="1"/>
  <c r="HJ30" i="1"/>
  <c r="HL27" i="1"/>
  <c r="HL28" i="1" s="1"/>
  <c r="HL29" i="1"/>
  <c r="HL30" i="1"/>
  <c r="HK27" i="1"/>
  <c r="HK28" i="1" s="1"/>
  <c r="HK29" i="1"/>
  <c r="HK30" i="1"/>
  <c r="HV18" i="1"/>
  <c r="HU18" i="1"/>
  <c r="HS18" i="1"/>
  <c r="HT18" i="1"/>
  <c r="HR18" i="1"/>
  <c r="HQ18" i="1"/>
  <c r="HP18" i="1"/>
  <c r="HO18" i="1"/>
  <c r="HN18" i="1"/>
  <c r="HM18" i="1"/>
  <c r="HP27" i="1" l="1"/>
  <c r="HP28" i="1" s="1"/>
  <c r="HP30" i="1"/>
  <c r="HP29" i="1"/>
  <c r="HU27" i="1"/>
  <c r="HU28" i="1" s="1"/>
  <c r="HU30" i="1"/>
  <c r="HU29" i="1"/>
  <c r="HS27" i="1"/>
  <c r="HS28" i="1" s="1"/>
  <c r="HS29" i="1"/>
  <c r="HS30" i="1"/>
  <c r="HM27" i="1"/>
  <c r="HM28" i="1" s="1"/>
  <c r="HM30" i="1"/>
  <c r="HM29" i="1"/>
  <c r="HQ27" i="1"/>
  <c r="HQ28" i="1" s="1"/>
  <c r="HQ30" i="1"/>
  <c r="HQ29" i="1"/>
  <c r="HN27" i="1"/>
  <c r="HN28" i="1" s="1"/>
  <c r="HN29" i="1"/>
  <c r="HN30" i="1"/>
  <c r="HR27" i="1"/>
  <c r="HR28" i="1" s="1"/>
  <c r="HR29" i="1"/>
  <c r="HR30" i="1"/>
  <c r="HV27" i="1"/>
  <c r="HV28" i="1" s="1"/>
  <c r="HV29" i="1"/>
  <c r="HV30" i="1"/>
  <c r="HO27" i="1"/>
  <c r="HO28" i="1" s="1"/>
  <c r="HO30" i="1"/>
  <c r="HO29" i="1"/>
  <c r="HT27" i="1"/>
  <c r="HT28" i="1" s="1"/>
  <c r="HT29" i="1"/>
  <c r="HT30" i="1"/>
</calcChain>
</file>

<file path=xl/sharedStrings.xml><?xml version="1.0" encoding="utf-8"?>
<sst xmlns="http://schemas.openxmlformats.org/spreadsheetml/2006/main" count="128" uniqueCount="115">
  <si>
    <t>合肥</t>
    <phoneticPr fontId="1" type="noConversion"/>
  </si>
  <si>
    <t>淮北</t>
    <phoneticPr fontId="1" type="noConversion"/>
  </si>
  <si>
    <t>亳州</t>
    <phoneticPr fontId="1" type="noConversion"/>
  </si>
  <si>
    <t>宿州</t>
    <phoneticPr fontId="1" type="noConversion"/>
  </si>
  <si>
    <t>蚌埠</t>
    <phoneticPr fontId="1" type="noConversion"/>
  </si>
  <si>
    <t>阜阳</t>
    <phoneticPr fontId="1" type="noConversion"/>
  </si>
  <si>
    <t>淮南</t>
    <phoneticPr fontId="1" type="noConversion"/>
  </si>
  <si>
    <t>滁州</t>
    <phoneticPr fontId="1" type="noConversion"/>
  </si>
  <si>
    <t>六安</t>
  </si>
  <si>
    <t>马鞍山</t>
  </si>
  <si>
    <t>芜湖</t>
  </si>
  <si>
    <t>宣城</t>
  </si>
  <si>
    <t>铜陵</t>
    <phoneticPr fontId="1" type="noConversion"/>
  </si>
  <si>
    <t>池州</t>
    <phoneticPr fontId="1" type="noConversion"/>
  </si>
  <si>
    <t>安庆</t>
    <phoneticPr fontId="1" type="noConversion"/>
  </si>
  <si>
    <t>黄山</t>
    <phoneticPr fontId="1" type="noConversion"/>
  </si>
  <si>
    <t>新增疑似</t>
    <phoneticPr fontId="1" type="noConversion"/>
  </si>
  <si>
    <t>新增确诊</t>
    <phoneticPr fontId="1" type="noConversion"/>
  </si>
  <si>
    <t>安徽</t>
    <phoneticPr fontId="1" type="noConversion"/>
  </si>
  <si>
    <t>广东</t>
    <phoneticPr fontId="1" type="noConversion"/>
  </si>
  <si>
    <t>浙江</t>
    <phoneticPr fontId="1" type="noConversion"/>
  </si>
  <si>
    <t>河南</t>
    <phoneticPr fontId="1" type="noConversion"/>
  </si>
  <si>
    <t>湖南</t>
    <phoneticPr fontId="1" type="noConversion"/>
  </si>
  <si>
    <t>江西</t>
    <phoneticPr fontId="1" type="noConversion"/>
  </si>
  <si>
    <t>在院治疗</t>
    <phoneticPr fontId="1" type="noConversion"/>
  </si>
  <si>
    <t>危重症</t>
    <phoneticPr fontId="1" type="noConversion"/>
  </si>
  <si>
    <t>累计出院</t>
    <phoneticPr fontId="1" type="noConversion"/>
  </si>
  <si>
    <t>死亡病例</t>
    <phoneticPr fontId="1" type="noConversion"/>
  </si>
  <si>
    <t>治愈率</t>
    <phoneticPr fontId="1" type="noConversion"/>
  </si>
  <si>
    <t>病死率</t>
    <phoneticPr fontId="1" type="noConversion"/>
  </si>
  <si>
    <t>危重率</t>
    <phoneticPr fontId="1" type="noConversion"/>
  </si>
  <si>
    <t>新增人数</t>
    <phoneticPr fontId="1" type="noConversion"/>
  </si>
  <si>
    <t>新增确诊</t>
  </si>
  <si>
    <t>新增重症</t>
  </si>
  <si>
    <t>新增疑似</t>
  </si>
  <si>
    <t>解除医学观察</t>
  </si>
  <si>
    <t>累计死亡</t>
  </si>
  <si>
    <t>尚在医学观察</t>
  </si>
  <si>
    <t>死亡率</t>
    <phoneticPr fontId="1" type="noConversion"/>
  </si>
  <si>
    <t>重症率</t>
    <phoneticPr fontId="1" type="noConversion"/>
  </si>
  <si>
    <t>全国</t>
    <phoneticPr fontId="1" type="noConversion"/>
  </si>
  <si>
    <t>新增死亡</t>
    <phoneticPr fontId="1" type="noConversion"/>
  </si>
  <si>
    <t>新增治愈</t>
    <phoneticPr fontId="1" type="noConversion"/>
  </si>
  <si>
    <t>新增治愈</t>
    <phoneticPr fontId="1" type="noConversion"/>
  </si>
  <si>
    <t>累计确诊</t>
    <phoneticPr fontId="1" type="noConversion"/>
  </si>
  <si>
    <t>累计确诊</t>
    <phoneticPr fontId="1" type="noConversion"/>
  </si>
  <si>
    <t>累计治愈</t>
    <phoneticPr fontId="1" type="noConversion"/>
  </si>
  <si>
    <t>现有确诊</t>
    <phoneticPr fontId="1" type="noConversion"/>
  </si>
  <si>
    <t>重症</t>
    <phoneticPr fontId="1" type="noConversion"/>
  </si>
  <si>
    <t>危重症</t>
    <phoneticPr fontId="1" type="noConversion"/>
  </si>
  <si>
    <t>现有疑似</t>
    <phoneticPr fontId="1" type="noConversion"/>
  </si>
  <si>
    <t>现有疑似</t>
    <phoneticPr fontId="1" type="noConversion"/>
  </si>
  <si>
    <t>累计追踪到密切接触者</t>
    <phoneticPr fontId="1" type="noConversion"/>
  </si>
  <si>
    <t>累计追踪到密切接触者</t>
    <phoneticPr fontId="1" type="noConversion"/>
  </si>
  <si>
    <t>尚在接受医学观察</t>
    <phoneticPr fontId="1" type="noConversion"/>
  </si>
  <si>
    <t>湖北省</t>
    <phoneticPr fontId="1" type="noConversion"/>
  </si>
  <si>
    <t>累计病亡</t>
    <phoneticPr fontId="1" type="noConversion"/>
  </si>
  <si>
    <t>治愈率</t>
    <phoneticPr fontId="1" type="noConversion"/>
  </si>
  <si>
    <t>治愈率</t>
    <phoneticPr fontId="1" type="noConversion"/>
  </si>
  <si>
    <t>重症率</t>
    <phoneticPr fontId="1" type="noConversion"/>
  </si>
  <si>
    <t>死亡率</t>
    <phoneticPr fontId="1" type="noConversion"/>
  </si>
  <si>
    <t>危重率</t>
    <phoneticPr fontId="1" type="noConversion"/>
  </si>
  <si>
    <t>新增确诊</t>
    <phoneticPr fontId="1" type="noConversion"/>
  </si>
  <si>
    <t>现有确诊</t>
    <phoneticPr fontId="1" type="noConversion"/>
  </si>
  <si>
    <t>重症病例</t>
    <phoneticPr fontId="1" type="noConversion"/>
  </si>
  <si>
    <t>累计死亡</t>
    <phoneticPr fontId="1" type="noConversion"/>
  </si>
  <si>
    <t>累计确诊</t>
    <phoneticPr fontId="1" type="noConversion"/>
  </si>
  <si>
    <t>新增疑似</t>
    <phoneticPr fontId="1" type="noConversion"/>
  </si>
  <si>
    <t>现有疑似</t>
    <phoneticPr fontId="1" type="noConversion"/>
  </si>
  <si>
    <t>武汉市</t>
    <phoneticPr fontId="1" type="noConversion"/>
  </si>
  <si>
    <t>新增治愈</t>
    <phoneticPr fontId="1" type="noConversion"/>
  </si>
  <si>
    <t>非湖北地区新增确诊</t>
    <phoneticPr fontId="1" type="noConversion"/>
  </si>
  <si>
    <t>新增死亡</t>
    <phoneticPr fontId="1" type="noConversion"/>
  </si>
  <si>
    <t>非湖北地区新增死亡</t>
    <phoneticPr fontId="1" type="noConversion"/>
  </si>
  <si>
    <t>非湖北地区新增治愈</t>
    <phoneticPr fontId="1" type="noConversion"/>
  </si>
  <si>
    <t>非湖北地区累计死亡</t>
    <phoneticPr fontId="1" type="noConversion"/>
  </si>
  <si>
    <t>非湖北地区累计治愈</t>
    <phoneticPr fontId="1" type="noConversion"/>
  </si>
  <si>
    <t>现有重症病例</t>
    <phoneticPr fontId="1" type="noConversion"/>
  </si>
  <si>
    <t>非湖北地区现有重症病例</t>
    <phoneticPr fontId="1" type="noConversion"/>
  </si>
  <si>
    <t>非湖北地区累计确诊</t>
    <phoneticPr fontId="1" type="noConversion"/>
  </si>
  <si>
    <t>非湖北地区现有确诊</t>
    <phoneticPr fontId="1" type="noConversion"/>
  </si>
  <si>
    <t>尚在医学观察者</t>
    <phoneticPr fontId="1" type="noConversion"/>
  </si>
  <si>
    <t>尚在医学观察者</t>
    <phoneticPr fontId="1" type="noConversion"/>
  </si>
  <si>
    <t>安徽</t>
    <phoneticPr fontId="1" type="noConversion"/>
  </si>
  <si>
    <t>安徽</t>
    <phoneticPr fontId="1" type="noConversion"/>
  </si>
  <si>
    <t>江苏</t>
    <phoneticPr fontId="1" type="noConversion"/>
  </si>
  <si>
    <t>江西</t>
    <phoneticPr fontId="1" type="noConversion"/>
  </si>
  <si>
    <t>新增境外</t>
    <phoneticPr fontId="1" type="noConversion"/>
  </si>
  <si>
    <t>累计境外</t>
    <phoneticPr fontId="1" type="noConversion"/>
  </si>
  <si>
    <t>医学观察密切接触者</t>
    <phoneticPr fontId="1" type="noConversion"/>
  </si>
  <si>
    <t>新增医学观察</t>
    <phoneticPr fontId="1" type="noConversion"/>
  </si>
  <si>
    <t>新增密切</t>
    <phoneticPr fontId="1" type="noConversion"/>
  </si>
  <si>
    <t>北京</t>
    <phoneticPr fontId="1" type="noConversion"/>
  </si>
  <si>
    <t>上海</t>
    <phoneticPr fontId="1" type="noConversion"/>
  </si>
  <si>
    <t>结束观察</t>
    <phoneticPr fontId="1" type="noConversion"/>
  </si>
  <si>
    <t>本地新增</t>
    <phoneticPr fontId="1" type="noConversion"/>
  </si>
  <si>
    <t>新增密切</t>
    <phoneticPr fontId="1" type="noConversion"/>
  </si>
  <si>
    <t>境外重症</t>
    <phoneticPr fontId="1" type="noConversion"/>
  </si>
  <si>
    <t>境外重症率</t>
    <phoneticPr fontId="1" type="noConversion"/>
  </si>
  <si>
    <t>新增无症状</t>
    <phoneticPr fontId="1" type="noConversion"/>
  </si>
  <si>
    <t>尚在医学观察无症状感染者</t>
    <phoneticPr fontId="1" type="noConversion"/>
  </si>
  <si>
    <t>现有感染者</t>
    <phoneticPr fontId="1" type="noConversion"/>
  </si>
  <si>
    <t>新增感染者</t>
    <phoneticPr fontId="1" type="noConversion"/>
  </si>
  <si>
    <t>新增无症状感染者</t>
    <phoneticPr fontId="1" type="noConversion"/>
  </si>
  <si>
    <t>新增无症状感染者</t>
    <phoneticPr fontId="1" type="noConversion"/>
  </si>
  <si>
    <t>尚在医学观察无症状感染者</t>
    <phoneticPr fontId="1" type="noConversion"/>
  </si>
  <si>
    <t>现有感染者</t>
    <phoneticPr fontId="1" type="noConversion"/>
  </si>
  <si>
    <t>新增感染者</t>
    <phoneticPr fontId="1" type="noConversion"/>
  </si>
  <si>
    <t>尚在医学观察无症状感染者</t>
    <phoneticPr fontId="1" type="noConversion"/>
  </si>
  <si>
    <t>·</t>
    <phoneticPr fontId="1" type="noConversion"/>
  </si>
  <si>
    <t>现有重症率</t>
    <phoneticPr fontId="1" type="noConversion"/>
  </si>
  <si>
    <t>香港</t>
    <phoneticPr fontId="1" type="noConversion"/>
  </si>
  <si>
    <t>澳门</t>
    <phoneticPr fontId="1" type="noConversion"/>
  </si>
  <si>
    <t>台湾</t>
    <phoneticPr fontId="1" type="noConversion"/>
  </si>
  <si>
    <t xml:space="preserve">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</si>
</sst>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仿宋"/>
      <family val="3"/>
      <charset val="134"/>
    </font>
    <font>
      <sz val="11"/>
      <color rgb="FF333333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rgb="FF484848"/>
      <name val="仿宋"/>
      <family val="3"/>
      <charset val="134"/>
    </font>
    <font>
      <sz val="11"/>
      <color rgb="FF333333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58" fontId="2" fillId="2" borderId="0" xfId="0" applyNumberFormat="1" applyFont="1" applyFill="1" applyAlignment="1">
      <alignment horizontal="center"/>
    </xf>
    <xf numFmtId="0" fontId="0" fillId="2" borderId="0" xfId="0" applyFill="1"/>
    <xf numFmtId="10" fontId="3" fillId="0" borderId="0" xfId="0" applyNumberFormat="1" applyFont="1" applyAlignment="1">
      <alignment horizontal="center"/>
    </xf>
    <xf numFmtId="0" fontId="4" fillId="0" borderId="0" xfId="0" applyFont="1"/>
    <xf numFmtId="58" fontId="4" fillId="2" borderId="0" xfId="0" applyNumberFormat="1" applyFont="1" applyFill="1" applyAlignment="1">
      <alignment horizontal="center"/>
    </xf>
    <xf numFmtId="0" fontId="5" fillId="0" borderId="0" xfId="0" applyFont="1"/>
    <xf numFmtId="14" fontId="2" fillId="0" borderId="0" xfId="0" applyNumberFormat="1" applyFont="1"/>
    <xf numFmtId="10" fontId="0" fillId="0" borderId="0" xfId="0" applyNumberFormat="1"/>
    <xf numFmtId="10" fontId="5" fillId="0" borderId="0" xfId="0" applyNumberFormat="1" applyFont="1"/>
    <xf numFmtId="10" fontId="6" fillId="0" borderId="0" xfId="0" applyNumberFormat="1" applyFont="1"/>
    <xf numFmtId="0" fontId="5" fillId="0" borderId="0" xfId="0" applyFont="1" applyAlignment="1"/>
    <xf numFmtId="176" fontId="5" fillId="0" borderId="0" xfId="0" applyNumberFormat="1" applyFont="1"/>
    <xf numFmtId="0" fontId="2" fillId="3" borderId="0" xfId="0" applyFont="1" applyFill="1"/>
    <xf numFmtId="14" fontId="2" fillId="3" borderId="0" xfId="0" applyNumberFormat="1" applyFont="1" applyFill="1"/>
    <xf numFmtId="0" fontId="0" fillId="3" borderId="0" xfId="0" applyFill="1"/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11/relationships/webextension" Target="../webextensions/webextension2.xml"/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291</xdr:col>
      <xdr:colOff>209550</xdr:colOff>
      <xdr:row>44</xdr:row>
      <xdr:rowOff>119062</xdr:rowOff>
    </xdr:from>
    <xdr:to>
      <xdr:col>294</xdr:col>
      <xdr:colOff>590550</xdr:colOff>
      <xdr:row>65</xdr:row>
      <xdr:rowOff>128587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应用程序 1"/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应用程序 1"/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>
    <xdr:from>
      <xdr:col>291</xdr:col>
      <xdr:colOff>209550</xdr:colOff>
      <xdr:row>44</xdr:row>
      <xdr:rowOff>119062</xdr:rowOff>
    </xdr:from>
    <xdr:to>
      <xdr:col>294</xdr:col>
      <xdr:colOff>590550</xdr:colOff>
      <xdr:row>65</xdr:row>
      <xdr:rowOff>128587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3" name="应用程序 2"/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3"/>
            </a:graphicData>
          </a:graphic>
        </xdr:graphicFrame>
      </mc:Choice>
      <mc:Fallback>
        <xdr:pic>
          <xdr:nvPicPr>
            <xdr:cNvPr id="3" name="应用程序 2"/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_rels/webextension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ebextensions/webextension1.xml><?xml version="1.0" encoding="utf-8"?>
<we:webextension xmlns:we="http://schemas.microsoft.com/office/webextensions/webextension/2010/11" id="{B94A183A-DB64-48E2-AB24-CC120E90553E}">
  <we:reference id="wa104104476" version="1.3.0.0" store="zh-CN" storeType="OMEX"/>
  <we:alternateReferences/>
  <we:properties>
    <we:property name="sku" value="&quot;peoplebar-giant&quot;"/>
    <we:property name="theme" value="&quot;giant-redwhiteblack&quot;"/>
    <we:property name="shape" value="&quot;muscle-people&quot;"/>
    <we:property name="layout-element-title" value="&quot;应用相关数据&quot;"/>
  </we:properties>
  <we:bindings/>
  <we:snapshot xmlns:r="http://schemas.openxmlformats.org/officeDocument/2006/relationships" r:embed="rId1"/>
</we:webextension>
</file>

<file path=xl/webextensions/webextension2.xml><?xml version="1.0" encoding="utf-8"?>
<we:webextension xmlns:we="http://schemas.microsoft.com/office/webextensions/webextension/2010/11" id="{BB4F285A-4098-4FCD-A1F9-F86847057662}">
  <we:reference id="wa104104476" version="1.3.0.0" store="zh-CN" storeType="OMEX"/>
  <we:alternateReferences/>
  <we:properties>
    <we:property name="sku" value="&quot;peoplebar-giant&quot;"/>
    <we:property name="theme" value="&quot;giant-redwhiteblack&quot;"/>
    <we:property name="shape" value="&quot;muscle-people&quot;"/>
    <we:property name="layout-element-title" value="&quot;应用相关数据&quot;"/>
  </we:properties>
  <we:bindings/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G84"/>
  <sheetViews>
    <sheetView zoomScaleNormal="100" workbookViewId="0">
      <selection activeCell="C3" sqref="B3:C3"/>
    </sheetView>
  </sheetViews>
  <sheetFormatPr defaultRowHeight="14.25"/>
  <cols>
    <col min="1" max="53" width="22.5" customWidth="1"/>
    <col min="54" max="54" width="21.625" customWidth="1"/>
    <col min="55" max="244" width="22.5" customWidth="1"/>
    <col min="245" max="245" width="12.5" customWidth="1"/>
    <col min="246" max="246" width="8.625" customWidth="1"/>
    <col min="247" max="247" width="11.125" customWidth="1"/>
    <col min="248" max="255" width="22.5" customWidth="1"/>
    <col min="256" max="256" width="12.375" customWidth="1"/>
    <col min="257" max="257" width="12.75" customWidth="1"/>
    <col min="258" max="264" width="22.5" customWidth="1"/>
    <col min="265" max="265" width="13.625" customWidth="1"/>
    <col min="266" max="266" width="15" customWidth="1"/>
    <col min="267" max="325" width="22.5" customWidth="1"/>
    <col min="326" max="363" width="19.875" customWidth="1"/>
    <col min="364" max="364" width="10.25" customWidth="1"/>
    <col min="365" max="366" width="15.25" customWidth="1"/>
    <col min="367" max="368" width="19.875" customWidth="1"/>
    <col min="369" max="369" width="9.25" customWidth="1"/>
    <col min="370" max="370" width="7.625" customWidth="1"/>
    <col min="371" max="371" width="8.25" customWidth="1"/>
    <col min="372" max="372" width="9.5" customWidth="1"/>
    <col min="373" max="373" width="9.875" customWidth="1"/>
    <col min="374" max="374" width="6.875" customWidth="1"/>
    <col min="375" max="375" width="8.5" customWidth="1"/>
    <col min="376" max="376" width="8.625" customWidth="1"/>
    <col min="377" max="377" width="8.375" customWidth="1"/>
    <col min="378" max="378" width="7.375" customWidth="1"/>
    <col min="379" max="379" width="6.75" customWidth="1"/>
    <col min="380" max="380" width="7.875" customWidth="1"/>
    <col min="381" max="381" width="6.375" customWidth="1"/>
    <col min="382" max="382" width="6.5" customWidth="1"/>
    <col min="383" max="383" width="10.125" customWidth="1"/>
    <col min="384" max="384" width="8.5" customWidth="1"/>
    <col min="385" max="385" width="6.5" customWidth="1"/>
    <col min="386" max="386" width="7.375" customWidth="1"/>
    <col min="387" max="387" width="12.5" customWidth="1"/>
  </cols>
  <sheetData>
    <row r="1" spans="1:397">
      <c r="A1" s="11" t="s">
        <v>40</v>
      </c>
      <c r="B1" s="8">
        <v>44245</v>
      </c>
      <c r="C1" s="8">
        <v>44244</v>
      </c>
      <c r="D1" s="8">
        <v>44243</v>
      </c>
      <c r="E1" s="8">
        <v>44242</v>
      </c>
      <c r="F1" s="8">
        <v>44241</v>
      </c>
      <c r="G1" s="8">
        <v>44240</v>
      </c>
      <c r="H1" s="8">
        <v>44239</v>
      </c>
      <c r="I1" s="8">
        <v>44238</v>
      </c>
      <c r="J1" s="8">
        <v>44237</v>
      </c>
      <c r="K1" s="8">
        <v>44236</v>
      </c>
      <c r="L1" s="8">
        <v>44235</v>
      </c>
      <c r="M1" s="8">
        <v>44234</v>
      </c>
      <c r="N1" s="8">
        <v>44233</v>
      </c>
      <c r="O1" s="8">
        <v>44232</v>
      </c>
      <c r="P1" s="8">
        <v>44231</v>
      </c>
      <c r="Q1" s="8">
        <v>44230</v>
      </c>
      <c r="R1" s="8">
        <v>44229</v>
      </c>
      <c r="S1" s="8">
        <v>44228</v>
      </c>
      <c r="T1" s="8">
        <v>44227</v>
      </c>
      <c r="U1" s="8">
        <v>44226</v>
      </c>
      <c r="V1" s="8">
        <v>44225</v>
      </c>
      <c r="W1" s="8">
        <v>44224</v>
      </c>
      <c r="X1" s="8">
        <v>44223</v>
      </c>
      <c r="Y1" s="8">
        <v>44222</v>
      </c>
      <c r="Z1" s="8">
        <v>44221</v>
      </c>
      <c r="AA1" s="8">
        <v>44220</v>
      </c>
      <c r="AB1" s="8">
        <v>44219</v>
      </c>
      <c r="AC1" s="8">
        <v>44218</v>
      </c>
      <c r="AD1" s="8">
        <v>44217</v>
      </c>
      <c r="AE1" s="8">
        <v>44216</v>
      </c>
      <c r="AF1" s="8">
        <v>44215</v>
      </c>
      <c r="AG1" s="8">
        <v>44214</v>
      </c>
      <c r="AH1" s="8">
        <v>44213</v>
      </c>
      <c r="AI1" s="8">
        <v>44212</v>
      </c>
      <c r="AJ1" s="8">
        <v>44211</v>
      </c>
      <c r="AK1" s="8">
        <v>44210</v>
      </c>
      <c r="AL1" s="8">
        <v>44209</v>
      </c>
      <c r="AM1" s="8">
        <v>44208</v>
      </c>
      <c r="AN1" s="8">
        <v>44207</v>
      </c>
      <c r="AO1" s="8" t="s">
        <v>114</v>
      </c>
      <c r="AP1" s="8">
        <v>44205</v>
      </c>
      <c r="AQ1" s="8">
        <v>44204</v>
      </c>
      <c r="AR1" s="8">
        <v>44203</v>
      </c>
      <c r="AS1" s="8">
        <v>44202</v>
      </c>
      <c r="AT1" s="8">
        <v>44201</v>
      </c>
      <c r="AU1" s="8">
        <v>44200</v>
      </c>
      <c r="AV1" s="8">
        <v>44199</v>
      </c>
      <c r="AW1" s="8">
        <v>44198</v>
      </c>
      <c r="AX1" s="8">
        <v>44197</v>
      </c>
      <c r="AY1" s="8">
        <v>44196</v>
      </c>
      <c r="AZ1" s="8">
        <v>44195</v>
      </c>
      <c r="BA1" s="8">
        <v>44194</v>
      </c>
      <c r="BB1" s="8">
        <v>44193</v>
      </c>
      <c r="BC1" s="8">
        <v>44192</v>
      </c>
      <c r="BD1" s="8">
        <v>44191</v>
      </c>
      <c r="BE1" s="8">
        <v>44190</v>
      </c>
      <c r="BF1" s="8">
        <v>44189</v>
      </c>
      <c r="BG1" s="8">
        <v>44188</v>
      </c>
      <c r="BH1" s="8">
        <v>44187</v>
      </c>
      <c r="BI1" s="8">
        <v>44186</v>
      </c>
      <c r="BJ1" s="8">
        <v>44185</v>
      </c>
      <c r="BK1" s="8">
        <v>44184</v>
      </c>
      <c r="BL1" s="8">
        <v>44183</v>
      </c>
      <c r="BM1" s="8">
        <v>44182</v>
      </c>
      <c r="BN1" s="8">
        <v>44181</v>
      </c>
      <c r="BO1" s="8">
        <v>44180</v>
      </c>
      <c r="BP1" s="8">
        <v>44179</v>
      </c>
      <c r="BQ1" s="8">
        <v>44178</v>
      </c>
      <c r="BR1" s="8">
        <v>44177</v>
      </c>
      <c r="BS1" s="8">
        <v>44176</v>
      </c>
      <c r="BT1" s="8">
        <v>44175</v>
      </c>
      <c r="BU1" s="8">
        <v>44174</v>
      </c>
      <c r="BV1" s="8">
        <v>44173</v>
      </c>
      <c r="BW1" s="8">
        <v>44172</v>
      </c>
      <c r="BX1" s="8">
        <v>44171</v>
      </c>
      <c r="BY1" s="8">
        <v>44170</v>
      </c>
      <c r="BZ1" s="8">
        <v>44169</v>
      </c>
      <c r="CA1" s="8">
        <v>44168</v>
      </c>
      <c r="CB1" s="8">
        <v>44167</v>
      </c>
      <c r="CC1" s="8">
        <v>44166</v>
      </c>
      <c r="CD1" s="8">
        <v>44165</v>
      </c>
      <c r="CE1" s="8">
        <v>44164</v>
      </c>
      <c r="CF1" s="8">
        <v>44163</v>
      </c>
      <c r="CG1" s="8">
        <v>44162</v>
      </c>
      <c r="CH1" s="8">
        <v>44161</v>
      </c>
      <c r="CI1" s="8">
        <v>44160</v>
      </c>
      <c r="CJ1" s="8">
        <v>44159</v>
      </c>
      <c r="CK1" s="8">
        <v>44158</v>
      </c>
      <c r="CL1" s="8">
        <v>44157</v>
      </c>
      <c r="CM1" s="8">
        <v>44156</v>
      </c>
      <c r="CN1" s="8">
        <v>44155</v>
      </c>
      <c r="CO1" s="8">
        <v>44154</v>
      </c>
      <c r="CP1" s="8">
        <v>44153</v>
      </c>
      <c r="CQ1" s="8">
        <v>44152</v>
      </c>
      <c r="CR1" s="8">
        <v>44151</v>
      </c>
      <c r="CS1" s="8">
        <v>44150</v>
      </c>
      <c r="CT1" s="8">
        <v>44149</v>
      </c>
      <c r="CU1" s="8">
        <v>44148</v>
      </c>
      <c r="CV1" s="8">
        <v>44147</v>
      </c>
      <c r="CW1" s="8">
        <v>44146</v>
      </c>
      <c r="CX1" s="8">
        <v>44145</v>
      </c>
      <c r="CY1" s="8">
        <v>44144</v>
      </c>
      <c r="CZ1" s="8">
        <v>44143</v>
      </c>
      <c r="DA1" s="8">
        <v>44142</v>
      </c>
      <c r="DB1" s="8">
        <v>44141</v>
      </c>
      <c r="DC1" s="8">
        <v>44140</v>
      </c>
      <c r="DD1" s="8">
        <v>44139</v>
      </c>
      <c r="DE1" s="8">
        <v>44138</v>
      </c>
      <c r="DF1" s="8">
        <v>44137</v>
      </c>
      <c r="DG1" s="8">
        <v>44136</v>
      </c>
      <c r="DH1" s="8">
        <v>44135</v>
      </c>
      <c r="DI1" s="8">
        <v>44134</v>
      </c>
      <c r="DJ1" s="8">
        <v>44133</v>
      </c>
      <c r="DK1" s="8">
        <v>44132</v>
      </c>
      <c r="DL1" s="8">
        <v>44131</v>
      </c>
      <c r="DM1" s="8">
        <v>44130</v>
      </c>
      <c r="DN1" s="8">
        <v>44129</v>
      </c>
      <c r="DO1" s="8">
        <v>44128</v>
      </c>
      <c r="DP1" s="8">
        <v>44127</v>
      </c>
      <c r="DQ1" s="8">
        <v>44126</v>
      </c>
      <c r="DR1" s="8">
        <v>44125</v>
      </c>
      <c r="DS1" s="8">
        <v>44124</v>
      </c>
      <c r="DT1" s="8">
        <v>44123</v>
      </c>
      <c r="DU1" s="8">
        <v>44122</v>
      </c>
      <c r="DV1" s="8">
        <v>44121</v>
      </c>
      <c r="DW1" s="8">
        <v>44120</v>
      </c>
      <c r="DX1" s="8">
        <v>44119</v>
      </c>
      <c r="DY1" s="8">
        <v>44118</v>
      </c>
      <c r="DZ1" s="8">
        <v>44117</v>
      </c>
      <c r="EA1" s="8">
        <v>44116</v>
      </c>
      <c r="EB1" s="8">
        <v>44115</v>
      </c>
      <c r="EC1" s="8">
        <v>44114</v>
      </c>
      <c r="ED1" s="8">
        <v>44113</v>
      </c>
      <c r="EE1" s="8">
        <v>44112</v>
      </c>
      <c r="EF1" s="8">
        <v>44111</v>
      </c>
      <c r="EG1" s="8">
        <v>44110</v>
      </c>
      <c r="EH1" s="8">
        <v>44109</v>
      </c>
      <c r="EI1" s="8">
        <v>44108</v>
      </c>
      <c r="EJ1" s="8">
        <v>44107</v>
      </c>
      <c r="EK1" s="8">
        <v>44106</v>
      </c>
      <c r="EL1" s="8">
        <v>44105</v>
      </c>
      <c r="EM1" s="8">
        <v>44104</v>
      </c>
      <c r="EN1" s="8">
        <v>44103</v>
      </c>
      <c r="EO1" s="8">
        <v>44102</v>
      </c>
      <c r="EP1" s="8">
        <v>44101</v>
      </c>
      <c r="EQ1" s="8">
        <v>44100</v>
      </c>
      <c r="ER1" s="8">
        <v>44099</v>
      </c>
      <c r="ES1" s="8">
        <v>44098</v>
      </c>
      <c r="ET1" s="8">
        <v>44097</v>
      </c>
      <c r="EU1" s="8">
        <v>44096</v>
      </c>
      <c r="EV1" s="8">
        <v>44095</v>
      </c>
      <c r="EW1" s="8">
        <v>44094</v>
      </c>
      <c r="EX1" s="8">
        <v>44093</v>
      </c>
      <c r="EY1" s="8">
        <v>44092</v>
      </c>
      <c r="EZ1" s="8">
        <v>44091</v>
      </c>
      <c r="FA1" s="8">
        <v>44090</v>
      </c>
      <c r="FB1" s="8">
        <v>44089</v>
      </c>
      <c r="FC1" s="8">
        <v>44088</v>
      </c>
      <c r="FD1" s="8">
        <v>44087</v>
      </c>
      <c r="FE1" s="8">
        <v>44086</v>
      </c>
      <c r="FF1" s="8">
        <v>44085</v>
      </c>
      <c r="FG1" s="8">
        <v>44084</v>
      </c>
      <c r="FH1" s="8">
        <v>44083</v>
      </c>
      <c r="FI1" s="8">
        <v>44082</v>
      </c>
      <c r="FJ1" s="8">
        <v>44081</v>
      </c>
      <c r="FK1" s="8">
        <v>44080</v>
      </c>
      <c r="FL1" s="8">
        <v>44079</v>
      </c>
      <c r="FM1" s="8">
        <v>44078</v>
      </c>
      <c r="FN1" s="8">
        <v>44077</v>
      </c>
      <c r="FO1" s="8">
        <v>44076</v>
      </c>
      <c r="FP1" s="8">
        <v>44075</v>
      </c>
      <c r="FQ1" s="8">
        <v>44074</v>
      </c>
      <c r="FR1" s="8">
        <v>44073</v>
      </c>
      <c r="FS1" s="8">
        <v>44072</v>
      </c>
      <c r="FT1" s="8">
        <v>44071</v>
      </c>
      <c r="FU1" s="8">
        <v>44070</v>
      </c>
      <c r="FV1" s="8">
        <v>44069</v>
      </c>
      <c r="FW1" s="8">
        <v>44068</v>
      </c>
      <c r="FX1" s="8">
        <v>44067</v>
      </c>
      <c r="FY1" s="8">
        <v>44066</v>
      </c>
      <c r="FZ1" s="8">
        <v>44065</v>
      </c>
      <c r="GA1" s="8">
        <v>44064</v>
      </c>
      <c r="GB1" s="8">
        <v>44063</v>
      </c>
      <c r="GC1" s="8">
        <v>44062</v>
      </c>
      <c r="GD1" s="8">
        <v>44061</v>
      </c>
      <c r="GE1" s="8">
        <v>44060</v>
      </c>
      <c r="GF1" s="8">
        <v>44059</v>
      </c>
      <c r="GG1" s="8">
        <v>44058</v>
      </c>
      <c r="GH1" s="8">
        <v>44057</v>
      </c>
      <c r="GI1" s="8">
        <v>44056</v>
      </c>
      <c r="GJ1" s="8">
        <v>44055</v>
      </c>
      <c r="GK1" s="8">
        <v>44054</v>
      </c>
      <c r="GL1" s="8">
        <v>44053</v>
      </c>
      <c r="GM1" s="8">
        <v>44052</v>
      </c>
      <c r="GN1" s="8">
        <v>44051</v>
      </c>
      <c r="GO1" s="8">
        <v>44050</v>
      </c>
      <c r="GP1" s="8">
        <v>44049</v>
      </c>
      <c r="GQ1" s="8">
        <v>44048</v>
      </c>
      <c r="GR1" s="8">
        <v>44047</v>
      </c>
      <c r="GS1" s="8">
        <v>44046</v>
      </c>
      <c r="GT1" s="8">
        <v>44045</v>
      </c>
      <c r="GU1" s="8">
        <v>44044</v>
      </c>
      <c r="GV1" s="8">
        <v>44043</v>
      </c>
      <c r="GW1" s="8">
        <v>44042</v>
      </c>
      <c r="GX1" s="8">
        <v>44041</v>
      </c>
      <c r="GY1" s="8">
        <v>44040</v>
      </c>
      <c r="GZ1" s="8">
        <v>44039</v>
      </c>
      <c r="HA1" s="8">
        <v>44038</v>
      </c>
      <c r="HB1" s="8">
        <v>44037</v>
      </c>
      <c r="HC1" s="8">
        <v>44036</v>
      </c>
      <c r="HD1" s="8">
        <v>44035</v>
      </c>
      <c r="HE1" s="8">
        <v>44034</v>
      </c>
      <c r="HF1" s="8">
        <v>44033</v>
      </c>
      <c r="HG1" s="8">
        <v>44032</v>
      </c>
      <c r="HH1" s="8">
        <v>44031</v>
      </c>
      <c r="HI1" s="8">
        <v>44030</v>
      </c>
      <c r="HJ1" s="8">
        <v>44029</v>
      </c>
      <c r="HK1" s="8">
        <v>44028</v>
      </c>
      <c r="HL1" s="8">
        <v>44027</v>
      </c>
      <c r="HM1" s="8">
        <v>44026</v>
      </c>
      <c r="HN1" s="8">
        <v>44025</v>
      </c>
      <c r="HO1" s="8">
        <v>44024</v>
      </c>
      <c r="HP1" s="8">
        <v>44023</v>
      </c>
      <c r="HQ1" s="8">
        <v>44022</v>
      </c>
      <c r="HR1" s="8">
        <v>44021</v>
      </c>
      <c r="HS1" s="8">
        <v>44020</v>
      </c>
      <c r="HT1" s="8">
        <v>44019</v>
      </c>
      <c r="HU1" s="8">
        <v>44018</v>
      </c>
      <c r="HV1" s="8">
        <v>44017</v>
      </c>
      <c r="HW1" s="8">
        <v>44016</v>
      </c>
      <c r="HX1" s="8">
        <v>44015</v>
      </c>
      <c r="HY1" s="8">
        <v>44014</v>
      </c>
      <c r="HZ1" s="8">
        <v>44013</v>
      </c>
      <c r="IA1" s="8">
        <v>44012</v>
      </c>
      <c r="IB1" s="8">
        <v>44011</v>
      </c>
      <c r="IC1" s="8">
        <v>44010</v>
      </c>
      <c r="ID1" s="8">
        <v>44009</v>
      </c>
      <c r="IE1" s="8">
        <v>44008</v>
      </c>
      <c r="IF1" s="8">
        <v>44007</v>
      </c>
      <c r="IG1" s="8">
        <v>44006</v>
      </c>
      <c r="IH1" s="8">
        <v>44005</v>
      </c>
      <c r="II1" s="8">
        <v>44004</v>
      </c>
      <c r="IJ1" s="8">
        <v>44003</v>
      </c>
      <c r="IK1" s="8">
        <v>44002</v>
      </c>
      <c r="IL1" s="8">
        <v>44001</v>
      </c>
      <c r="IM1" s="8">
        <v>44000</v>
      </c>
      <c r="IN1" s="8">
        <v>43999</v>
      </c>
      <c r="IO1" s="8">
        <v>43998</v>
      </c>
      <c r="IP1" s="8">
        <v>43997</v>
      </c>
      <c r="IQ1" s="8">
        <v>43996</v>
      </c>
      <c r="IR1" s="8">
        <v>43995</v>
      </c>
      <c r="IS1" s="8">
        <v>43994</v>
      </c>
      <c r="IT1" s="8">
        <v>43993</v>
      </c>
      <c r="IU1" s="8">
        <v>43992</v>
      </c>
      <c r="IV1" s="8">
        <v>43991</v>
      </c>
      <c r="IW1" s="8">
        <v>43990</v>
      </c>
      <c r="IX1" s="8">
        <v>43989</v>
      </c>
      <c r="IY1" s="8">
        <v>43988</v>
      </c>
      <c r="IZ1" s="8">
        <v>43987</v>
      </c>
      <c r="JA1" s="8">
        <v>43986</v>
      </c>
      <c r="JB1" s="8">
        <v>43985</v>
      </c>
      <c r="JC1" s="8">
        <v>43984</v>
      </c>
      <c r="JD1" s="8">
        <v>43983</v>
      </c>
      <c r="JE1" s="8">
        <v>43982</v>
      </c>
      <c r="JF1" s="8">
        <v>43981</v>
      </c>
      <c r="JG1" s="8">
        <v>43980</v>
      </c>
      <c r="JH1" s="8">
        <v>43979</v>
      </c>
      <c r="JI1" s="8">
        <v>43978</v>
      </c>
      <c r="JJ1" s="8">
        <v>43977</v>
      </c>
      <c r="JK1" s="8">
        <v>43976</v>
      </c>
      <c r="JL1" s="8">
        <v>43975</v>
      </c>
      <c r="JM1" s="8">
        <v>43974</v>
      </c>
      <c r="JN1" s="8">
        <v>43973</v>
      </c>
      <c r="JO1" s="8">
        <v>43972</v>
      </c>
      <c r="JP1" s="8">
        <v>43971</v>
      </c>
      <c r="JQ1" s="8">
        <v>43970</v>
      </c>
      <c r="JR1" s="8">
        <v>43969</v>
      </c>
      <c r="JS1" s="8">
        <v>43968</v>
      </c>
      <c r="JT1" s="8">
        <v>43967</v>
      </c>
      <c r="JU1" s="8">
        <v>43966</v>
      </c>
      <c r="JV1" s="8">
        <v>43965</v>
      </c>
      <c r="JW1" s="8">
        <v>43964</v>
      </c>
      <c r="JX1" s="8">
        <v>43963</v>
      </c>
      <c r="JY1" s="8">
        <v>43962</v>
      </c>
      <c r="JZ1" s="8">
        <v>43961</v>
      </c>
      <c r="KA1" s="8">
        <v>43960</v>
      </c>
      <c r="KB1" s="8">
        <v>43959</v>
      </c>
      <c r="KC1" s="8">
        <v>43958</v>
      </c>
      <c r="KD1" s="8">
        <v>43957</v>
      </c>
      <c r="KE1" s="8">
        <v>43956</v>
      </c>
      <c r="KF1" s="8">
        <v>43955</v>
      </c>
      <c r="KG1" s="8">
        <v>43954</v>
      </c>
      <c r="KH1" s="8">
        <v>43953</v>
      </c>
      <c r="KI1" s="8">
        <v>43952</v>
      </c>
      <c r="KJ1" s="8">
        <v>43951</v>
      </c>
      <c r="KK1" s="8">
        <v>43950</v>
      </c>
      <c r="KL1" s="8">
        <v>43949</v>
      </c>
      <c r="KM1" s="8">
        <v>43948</v>
      </c>
      <c r="KN1" s="8">
        <v>43947</v>
      </c>
      <c r="KO1" s="8">
        <v>43946</v>
      </c>
      <c r="KP1" s="8">
        <v>43945</v>
      </c>
      <c r="KQ1" s="8">
        <v>43944</v>
      </c>
      <c r="KR1" s="8">
        <v>43943</v>
      </c>
      <c r="KS1" s="8">
        <v>43942</v>
      </c>
      <c r="KT1" s="8">
        <v>43941</v>
      </c>
      <c r="KU1" s="8">
        <v>43940</v>
      </c>
      <c r="KV1" s="8">
        <v>43939</v>
      </c>
      <c r="KW1" s="8">
        <v>43938</v>
      </c>
      <c r="KX1" s="8">
        <v>43937</v>
      </c>
      <c r="KY1" s="8">
        <v>43936</v>
      </c>
      <c r="KZ1" s="8">
        <v>43935</v>
      </c>
      <c r="LA1" s="8">
        <v>43934</v>
      </c>
      <c r="LB1" s="8">
        <v>43933</v>
      </c>
      <c r="LC1" s="8">
        <v>43932</v>
      </c>
      <c r="LD1" s="8">
        <v>43931</v>
      </c>
      <c r="LE1" s="8">
        <v>43930</v>
      </c>
      <c r="LF1" s="8">
        <v>43929</v>
      </c>
      <c r="LG1" s="8">
        <v>43928</v>
      </c>
      <c r="LH1" s="8">
        <v>43927</v>
      </c>
      <c r="LI1" s="8">
        <v>43926</v>
      </c>
      <c r="LJ1" s="8">
        <v>43925</v>
      </c>
      <c r="LK1" s="8">
        <v>43924</v>
      </c>
      <c r="LL1" s="8">
        <v>43923</v>
      </c>
      <c r="LM1" s="8">
        <v>43922</v>
      </c>
      <c r="LN1" s="8">
        <v>43921</v>
      </c>
      <c r="LO1" s="8">
        <v>43920</v>
      </c>
      <c r="LP1" s="8">
        <v>43919</v>
      </c>
      <c r="LQ1" s="8">
        <v>43918</v>
      </c>
      <c r="LR1" s="8">
        <v>43917</v>
      </c>
      <c r="LS1" s="8">
        <v>43916</v>
      </c>
      <c r="LT1" s="8">
        <v>43915</v>
      </c>
      <c r="LU1" s="8">
        <v>43914</v>
      </c>
      <c r="LV1" s="8">
        <v>43913</v>
      </c>
      <c r="LW1" s="8">
        <v>43912</v>
      </c>
      <c r="LX1" s="8">
        <v>43911</v>
      </c>
      <c r="LY1" s="8">
        <v>43910</v>
      </c>
      <c r="LZ1" s="8">
        <v>43909</v>
      </c>
      <c r="MA1" s="8">
        <v>43908</v>
      </c>
      <c r="MB1" s="8">
        <v>43907</v>
      </c>
      <c r="MC1" s="8">
        <v>43906</v>
      </c>
      <c r="MD1" s="8">
        <v>43905</v>
      </c>
      <c r="ME1" s="8">
        <v>43904</v>
      </c>
      <c r="MF1" s="8">
        <v>43903</v>
      </c>
      <c r="MG1" s="8">
        <v>43902</v>
      </c>
      <c r="MH1" s="8">
        <v>43901</v>
      </c>
      <c r="MI1" s="8">
        <v>43900</v>
      </c>
      <c r="MJ1" s="8">
        <v>43899</v>
      </c>
      <c r="MK1" s="8">
        <v>43898</v>
      </c>
      <c r="ML1" s="8">
        <v>43897</v>
      </c>
      <c r="MM1" s="8">
        <v>43896</v>
      </c>
      <c r="MN1" s="8">
        <v>43895</v>
      </c>
      <c r="MO1" s="8">
        <v>43894</v>
      </c>
      <c r="MP1" s="8">
        <v>43893</v>
      </c>
      <c r="MQ1" s="8">
        <v>43892</v>
      </c>
      <c r="MR1" s="8">
        <v>43891</v>
      </c>
      <c r="MS1" s="12">
        <v>43890</v>
      </c>
      <c r="MT1" s="12">
        <v>43889</v>
      </c>
      <c r="MU1" s="12">
        <v>43888</v>
      </c>
      <c r="MV1" s="12">
        <v>43887</v>
      </c>
      <c r="MW1" s="12">
        <v>43886</v>
      </c>
      <c r="MX1" s="12">
        <v>43885</v>
      </c>
      <c r="MY1" s="12">
        <v>43884</v>
      </c>
      <c r="MZ1" s="12">
        <v>43883</v>
      </c>
      <c r="NA1" s="12">
        <v>43882</v>
      </c>
      <c r="NB1" s="12">
        <v>43881</v>
      </c>
      <c r="NC1" s="12">
        <v>43880</v>
      </c>
      <c r="ND1" s="12">
        <v>43879</v>
      </c>
      <c r="NE1" s="12">
        <v>43878</v>
      </c>
      <c r="NF1" s="12">
        <v>43877</v>
      </c>
      <c r="NG1" s="12">
        <v>43876</v>
      </c>
      <c r="NH1" s="12">
        <v>43875</v>
      </c>
      <c r="NI1" s="12">
        <v>43874</v>
      </c>
      <c r="NJ1" s="12">
        <v>43873</v>
      </c>
      <c r="NK1" s="12">
        <v>43872</v>
      </c>
      <c r="NL1" s="12">
        <v>43871</v>
      </c>
      <c r="NM1" s="12">
        <v>43870</v>
      </c>
      <c r="NN1" s="12">
        <v>43869</v>
      </c>
      <c r="NO1" s="12">
        <v>43868</v>
      </c>
      <c r="NP1" s="12">
        <v>43867</v>
      </c>
      <c r="NQ1" s="12">
        <v>43866</v>
      </c>
      <c r="NR1" s="12">
        <v>43865</v>
      </c>
      <c r="NS1" s="12">
        <v>43864</v>
      </c>
      <c r="NT1" s="12">
        <v>43863</v>
      </c>
      <c r="NU1" s="12">
        <v>43862</v>
      </c>
      <c r="NV1" s="12">
        <v>43861</v>
      </c>
      <c r="NW1" s="12">
        <v>43860</v>
      </c>
      <c r="NX1" s="12">
        <v>43859</v>
      </c>
      <c r="NY1" s="12">
        <v>43858</v>
      </c>
      <c r="NZ1" s="12">
        <v>43857</v>
      </c>
      <c r="OA1" s="12">
        <v>43856</v>
      </c>
      <c r="OB1" s="12">
        <v>43855</v>
      </c>
      <c r="OC1" s="12">
        <v>43854</v>
      </c>
      <c r="OD1" s="12">
        <v>43853</v>
      </c>
      <c r="OE1" s="12">
        <v>43852</v>
      </c>
      <c r="OF1" s="12">
        <v>43851</v>
      </c>
      <c r="OG1" s="12">
        <v>43850</v>
      </c>
    </row>
    <row r="2" spans="1:397">
      <c r="A2" s="13" t="s">
        <v>32</v>
      </c>
      <c r="B2" s="13">
        <v>10</v>
      </c>
      <c r="C2" s="13">
        <v>11</v>
      </c>
      <c r="D2" s="13">
        <v>7</v>
      </c>
      <c r="E2" s="13">
        <v>16</v>
      </c>
      <c r="F2" s="13">
        <v>9</v>
      </c>
      <c r="G2" s="13">
        <v>7</v>
      </c>
      <c r="H2" s="13">
        <v>8</v>
      </c>
      <c r="I2" s="13">
        <v>12</v>
      </c>
      <c r="J2" s="13">
        <v>2</v>
      </c>
      <c r="K2" s="13">
        <v>14</v>
      </c>
      <c r="L2" s="13">
        <v>14</v>
      </c>
      <c r="M2" s="13">
        <v>14</v>
      </c>
      <c r="N2" s="13">
        <v>11</v>
      </c>
      <c r="O2" s="13">
        <v>12</v>
      </c>
      <c r="P2" s="13">
        <v>20</v>
      </c>
      <c r="Q2" s="13">
        <v>30</v>
      </c>
      <c r="R2" s="13">
        <v>25</v>
      </c>
      <c r="S2" s="13">
        <v>30</v>
      </c>
      <c r="T2" s="13">
        <v>42</v>
      </c>
      <c r="U2" s="13">
        <v>92</v>
      </c>
      <c r="V2" s="13">
        <v>52</v>
      </c>
      <c r="W2" s="13">
        <v>52</v>
      </c>
      <c r="X2" s="13">
        <v>54</v>
      </c>
      <c r="Y2" s="13">
        <v>75</v>
      </c>
      <c r="Z2" s="13">
        <v>82</v>
      </c>
      <c r="AA2" s="13">
        <v>124</v>
      </c>
      <c r="AB2" s="13">
        <v>80</v>
      </c>
      <c r="AC2" s="13">
        <v>107</v>
      </c>
      <c r="AD2" s="13">
        <v>103</v>
      </c>
      <c r="AE2" s="13">
        <v>144</v>
      </c>
      <c r="AF2" s="13">
        <v>103</v>
      </c>
      <c r="AG2" s="13">
        <v>118</v>
      </c>
      <c r="AH2" s="13">
        <v>109</v>
      </c>
      <c r="AI2" s="13">
        <v>109</v>
      </c>
      <c r="AJ2" s="13">
        <v>130</v>
      </c>
      <c r="AK2" s="13">
        <v>144</v>
      </c>
      <c r="AL2" s="13">
        <v>138</v>
      </c>
      <c r="AM2" s="13">
        <v>115</v>
      </c>
      <c r="AN2" s="13">
        <v>55</v>
      </c>
      <c r="AO2" s="13">
        <v>103</v>
      </c>
      <c r="AP2" s="13">
        <v>69</v>
      </c>
      <c r="AQ2" s="13">
        <v>33</v>
      </c>
      <c r="AR2" s="13">
        <v>53</v>
      </c>
      <c r="AS2" s="13">
        <v>63</v>
      </c>
      <c r="AT2" s="13">
        <v>32</v>
      </c>
      <c r="AU2" s="13">
        <v>33</v>
      </c>
      <c r="AV2" s="13">
        <v>33</v>
      </c>
      <c r="AW2" s="13">
        <v>24</v>
      </c>
      <c r="AX2" s="13">
        <v>22</v>
      </c>
      <c r="AY2" s="13">
        <v>19</v>
      </c>
      <c r="AZ2" s="13">
        <v>25</v>
      </c>
      <c r="BA2" s="13">
        <v>24</v>
      </c>
      <c r="BB2" s="13">
        <v>27</v>
      </c>
      <c r="BC2" s="13">
        <v>21</v>
      </c>
      <c r="BD2" s="13">
        <v>22</v>
      </c>
      <c r="BE2" s="13">
        <v>20</v>
      </c>
      <c r="BF2" s="13">
        <v>14</v>
      </c>
      <c r="BG2" s="13">
        <v>17</v>
      </c>
      <c r="BH2" s="13">
        <v>15</v>
      </c>
      <c r="BI2" s="13">
        <v>15</v>
      </c>
      <c r="BJ2" s="13">
        <v>23</v>
      </c>
      <c r="BK2" s="13">
        <v>23</v>
      </c>
      <c r="BL2" s="13">
        <v>17</v>
      </c>
      <c r="BM2" s="13">
        <v>12</v>
      </c>
      <c r="BN2" s="13">
        <v>7</v>
      </c>
      <c r="BO2" s="13">
        <v>12</v>
      </c>
      <c r="BP2" s="13">
        <v>17</v>
      </c>
      <c r="BQ2" s="13">
        <v>16</v>
      </c>
      <c r="BR2" s="13">
        <v>24</v>
      </c>
      <c r="BS2" s="13">
        <v>13</v>
      </c>
      <c r="BT2" s="13">
        <v>15</v>
      </c>
      <c r="BU2" s="13">
        <v>12</v>
      </c>
      <c r="BV2" s="13">
        <v>15</v>
      </c>
      <c r="BW2" s="13">
        <v>12</v>
      </c>
      <c r="BX2" s="13">
        <v>15</v>
      </c>
      <c r="BY2" s="13">
        <v>18</v>
      </c>
      <c r="BZ2" s="13">
        <v>17</v>
      </c>
      <c r="CA2" s="13">
        <v>17</v>
      </c>
      <c r="CB2" s="13">
        <v>16</v>
      </c>
      <c r="CC2" s="13">
        <v>9</v>
      </c>
      <c r="CD2" s="13">
        <v>12</v>
      </c>
      <c r="CE2" s="13">
        <v>18</v>
      </c>
      <c r="CF2" s="13">
        <v>11</v>
      </c>
      <c r="CG2" s="13">
        <v>6</v>
      </c>
      <c r="CH2" s="13">
        <v>5</v>
      </c>
      <c r="CI2" s="13">
        <v>21</v>
      </c>
      <c r="CJ2" s="13">
        <v>5</v>
      </c>
      <c r="CK2" s="13">
        <v>22</v>
      </c>
      <c r="CL2" s="13">
        <v>11</v>
      </c>
      <c r="CM2" s="13">
        <v>17</v>
      </c>
      <c r="CN2" s="13">
        <v>16</v>
      </c>
      <c r="CO2" s="13">
        <v>17</v>
      </c>
      <c r="CP2" s="13">
        <v>12</v>
      </c>
      <c r="CQ2" s="13">
        <v>8</v>
      </c>
      <c r="CR2" s="13">
        <v>15</v>
      </c>
      <c r="CS2" s="13">
        <v>8</v>
      </c>
      <c r="CT2" s="13">
        <v>13</v>
      </c>
      <c r="CU2" s="13">
        <v>18</v>
      </c>
      <c r="CV2" s="13">
        <v>8</v>
      </c>
      <c r="CW2" s="13">
        <v>15</v>
      </c>
      <c r="CX2" s="13">
        <v>17</v>
      </c>
      <c r="CY2" s="13">
        <v>22</v>
      </c>
      <c r="CZ2" s="13">
        <v>33</v>
      </c>
      <c r="DA2" s="13">
        <v>28</v>
      </c>
      <c r="DB2" s="13">
        <v>33</v>
      </c>
      <c r="DC2" s="13">
        <v>36</v>
      </c>
      <c r="DD2" s="13">
        <v>28</v>
      </c>
      <c r="DE2" s="13">
        <v>17</v>
      </c>
      <c r="DF2" s="13">
        <v>49</v>
      </c>
      <c r="DG2" s="13">
        <v>24</v>
      </c>
      <c r="DH2" s="13">
        <v>24</v>
      </c>
      <c r="DI2" s="13">
        <v>33</v>
      </c>
      <c r="DJ2" s="13">
        <v>25</v>
      </c>
      <c r="DK2" s="13">
        <v>47</v>
      </c>
      <c r="DL2" s="13">
        <v>42</v>
      </c>
      <c r="DM2" s="13">
        <v>16</v>
      </c>
      <c r="DN2" s="13">
        <v>20</v>
      </c>
      <c r="DO2" s="13">
        <v>15</v>
      </c>
      <c r="DP2" s="13">
        <v>28</v>
      </c>
      <c r="DQ2" s="13">
        <v>18</v>
      </c>
      <c r="DR2" s="13">
        <v>14</v>
      </c>
      <c r="DS2" s="13">
        <v>11</v>
      </c>
      <c r="DT2" s="13">
        <v>19</v>
      </c>
      <c r="DU2" s="13">
        <v>13</v>
      </c>
      <c r="DV2" s="13">
        <v>13</v>
      </c>
      <c r="DW2" s="13">
        <v>13</v>
      </c>
      <c r="DX2" s="13">
        <v>24</v>
      </c>
      <c r="DY2" s="13">
        <v>11</v>
      </c>
      <c r="DZ2" s="13">
        <v>20</v>
      </c>
      <c r="EA2" s="13">
        <v>13</v>
      </c>
      <c r="EB2" s="13">
        <v>21</v>
      </c>
      <c r="EC2" s="13">
        <v>21</v>
      </c>
      <c r="ED2" s="13">
        <v>15</v>
      </c>
      <c r="EE2" s="13">
        <v>21</v>
      </c>
      <c r="EF2" s="13">
        <v>11</v>
      </c>
      <c r="EG2" s="13">
        <v>7</v>
      </c>
      <c r="EH2" s="13">
        <v>12</v>
      </c>
      <c r="EI2" s="13">
        <v>20</v>
      </c>
      <c r="EJ2" s="13">
        <v>16</v>
      </c>
      <c r="EK2" s="13">
        <v>10</v>
      </c>
      <c r="EL2" s="13">
        <v>10</v>
      </c>
      <c r="EM2" s="13">
        <v>11</v>
      </c>
      <c r="EN2" s="13">
        <v>19</v>
      </c>
      <c r="EO2" s="13">
        <v>12</v>
      </c>
      <c r="EP2" s="13">
        <v>21</v>
      </c>
      <c r="EQ2" s="13">
        <v>14</v>
      </c>
      <c r="ER2" s="13">
        <v>15</v>
      </c>
      <c r="ES2" s="13">
        <v>8</v>
      </c>
      <c r="ET2" s="13">
        <v>7</v>
      </c>
      <c r="EU2" s="13">
        <v>10</v>
      </c>
      <c r="EV2" s="13">
        <v>6</v>
      </c>
      <c r="EW2" s="13">
        <v>12</v>
      </c>
      <c r="EX2" s="13">
        <v>10</v>
      </c>
      <c r="EY2" s="13">
        <v>14</v>
      </c>
      <c r="EZ2" s="13">
        <v>32</v>
      </c>
      <c r="FA2" s="13">
        <v>9</v>
      </c>
      <c r="FB2" s="13">
        <v>12</v>
      </c>
      <c r="FC2" s="13">
        <v>8</v>
      </c>
      <c r="FD2" s="13">
        <v>10</v>
      </c>
      <c r="FE2" s="13">
        <v>10</v>
      </c>
      <c r="FF2" s="13">
        <v>6</v>
      </c>
      <c r="FG2" s="13">
        <v>15</v>
      </c>
      <c r="FH2" s="13">
        <v>7</v>
      </c>
      <c r="FI2" s="13">
        <v>2</v>
      </c>
      <c r="FJ2" s="13">
        <v>10</v>
      </c>
      <c r="FK2" s="13">
        <v>12</v>
      </c>
      <c r="FL2" s="13">
        <v>10</v>
      </c>
      <c r="FM2" s="13">
        <v>10</v>
      </c>
      <c r="FN2" s="13">
        <v>25</v>
      </c>
      <c r="FO2" s="13">
        <v>11</v>
      </c>
      <c r="FP2" s="13">
        <v>8</v>
      </c>
      <c r="FQ2" s="13">
        <v>10</v>
      </c>
      <c r="FR2" s="13">
        <v>17</v>
      </c>
      <c r="FS2" s="13">
        <v>9</v>
      </c>
      <c r="FT2" s="13">
        <v>9</v>
      </c>
      <c r="FU2" s="13">
        <v>9</v>
      </c>
      <c r="FV2" s="13">
        <v>8</v>
      </c>
      <c r="FW2" s="13">
        <v>15</v>
      </c>
      <c r="FX2" s="13">
        <v>14</v>
      </c>
      <c r="FY2" s="13">
        <v>16</v>
      </c>
      <c r="FZ2" s="13">
        <v>12</v>
      </c>
      <c r="GA2" s="13">
        <v>22</v>
      </c>
      <c r="GB2" s="13">
        <v>22</v>
      </c>
      <c r="GC2" s="13">
        <v>7</v>
      </c>
      <c r="GD2" s="13">
        <v>17</v>
      </c>
      <c r="GE2" s="13">
        <v>22</v>
      </c>
      <c r="GF2" s="13">
        <v>22</v>
      </c>
      <c r="GG2" s="13">
        <v>19</v>
      </c>
      <c r="GH2" s="13">
        <v>22</v>
      </c>
      <c r="GI2" s="13">
        <v>30</v>
      </c>
      <c r="GJ2" s="13">
        <v>19</v>
      </c>
      <c r="GK2" s="13">
        <v>25</v>
      </c>
      <c r="GL2" s="13">
        <v>44</v>
      </c>
      <c r="GM2" s="13">
        <v>49</v>
      </c>
      <c r="GN2" s="13">
        <v>23</v>
      </c>
      <c r="GO2" s="13">
        <v>31</v>
      </c>
      <c r="GP2" s="13">
        <v>37</v>
      </c>
      <c r="GQ2" s="13">
        <v>37</v>
      </c>
      <c r="GR2" s="13">
        <v>27</v>
      </c>
      <c r="GS2" s="13">
        <v>36</v>
      </c>
      <c r="GT2" s="13">
        <v>43</v>
      </c>
      <c r="GU2" s="13">
        <v>49</v>
      </c>
      <c r="GV2" s="13">
        <v>45</v>
      </c>
      <c r="GW2" s="13">
        <v>127</v>
      </c>
      <c r="GX2" s="13">
        <v>105</v>
      </c>
      <c r="GY2" s="13">
        <v>101</v>
      </c>
      <c r="GZ2" s="13">
        <v>68</v>
      </c>
      <c r="HA2" s="13">
        <v>61</v>
      </c>
      <c r="HB2" s="13">
        <v>46</v>
      </c>
      <c r="HC2" s="13">
        <v>34</v>
      </c>
      <c r="HD2" s="13">
        <v>21</v>
      </c>
      <c r="HE2" s="13">
        <v>22</v>
      </c>
      <c r="HF2" s="13">
        <v>14</v>
      </c>
      <c r="HG2" s="13">
        <v>11</v>
      </c>
      <c r="HH2" s="13">
        <v>22</v>
      </c>
      <c r="HI2" s="13">
        <v>16</v>
      </c>
      <c r="HJ2" s="13">
        <v>22</v>
      </c>
      <c r="HK2" s="13">
        <v>10</v>
      </c>
      <c r="HL2" s="13">
        <v>1</v>
      </c>
      <c r="HM2" s="13">
        <v>6</v>
      </c>
      <c r="HN2" s="13">
        <v>3</v>
      </c>
      <c r="HO2" s="13">
        <v>8</v>
      </c>
      <c r="HP2" s="13">
        <v>7</v>
      </c>
      <c r="HQ2" s="13">
        <v>2</v>
      </c>
      <c r="HR2" s="13">
        <v>4</v>
      </c>
      <c r="HS2" s="13">
        <v>9</v>
      </c>
      <c r="HT2" s="13">
        <v>7</v>
      </c>
      <c r="HU2" s="13">
        <v>8</v>
      </c>
      <c r="HV2" s="13">
        <v>4</v>
      </c>
      <c r="HW2" s="13">
        <v>8</v>
      </c>
      <c r="HX2" s="13">
        <v>3</v>
      </c>
      <c r="HY2" s="13">
        <v>5</v>
      </c>
      <c r="HZ2" s="13">
        <v>3</v>
      </c>
      <c r="IA2" s="13">
        <v>3</v>
      </c>
      <c r="IB2" s="13">
        <v>19</v>
      </c>
      <c r="IC2" s="13">
        <v>12</v>
      </c>
      <c r="ID2" s="13">
        <v>17</v>
      </c>
      <c r="IE2" s="13">
        <v>21</v>
      </c>
      <c r="IF2" s="13">
        <v>13</v>
      </c>
      <c r="IG2" s="13">
        <v>19</v>
      </c>
      <c r="IH2" s="13">
        <v>12</v>
      </c>
      <c r="II2" s="13">
        <v>22</v>
      </c>
      <c r="IJ2" s="13">
        <v>18</v>
      </c>
      <c r="IK2" s="13">
        <v>26</v>
      </c>
      <c r="IL2" s="13">
        <v>27</v>
      </c>
      <c r="IM2" s="13">
        <v>32</v>
      </c>
      <c r="IN2" s="13">
        <v>28</v>
      </c>
      <c r="IO2" s="13">
        <v>44</v>
      </c>
      <c r="IP2" s="13">
        <v>40</v>
      </c>
      <c r="IQ2" s="13">
        <v>49</v>
      </c>
      <c r="IR2" s="13">
        <v>57</v>
      </c>
      <c r="IS2" s="13">
        <v>11</v>
      </c>
      <c r="IT2" s="13">
        <v>7</v>
      </c>
      <c r="IU2" s="13">
        <v>11</v>
      </c>
      <c r="IV2" s="13">
        <v>3</v>
      </c>
      <c r="IW2" s="13">
        <v>3</v>
      </c>
      <c r="IX2" s="13">
        <v>4</v>
      </c>
      <c r="IY2" s="13">
        <v>6</v>
      </c>
      <c r="IZ2" s="13">
        <v>3</v>
      </c>
      <c r="JA2" s="13">
        <v>5</v>
      </c>
      <c r="JB2" s="13">
        <v>1</v>
      </c>
      <c r="JC2" s="13">
        <v>1</v>
      </c>
      <c r="JD2" s="13">
        <v>5</v>
      </c>
      <c r="JE2" s="13">
        <v>16</v>
      </c>
      <c r="JF2" s="13">
        <v>2</v>
      </c>
      <c r="JG2" s="13">
        <v>4</v>
      </c>
      <c r="JH2" s="13">
        <v>0</v>
      </c>
      <c r="JI2" s="13">
        <v>2</v>
      </c>
      <c r="JJ2" s="13">
        <v>1</v>
      </c>
      <c r="JK2" s="13">
        <v>7</v>
      </c>
      <c r="JL2" s="13">
        <v>11</v>
      </c>
      <c r="JM2" s="13">
        <v>3</v>
      </c>
      <c r="JN2" s="13">
        <v>0</v>
      </c>
      <c r="JO2" s="13">
        <v>4</v>
      </c>
      <c r="JP2" s="13">
        <v>2</v>
      </c>
      <c r="JQ2" s="13">
        <v>5</v>
      </c>
      <c r="JR2" s="13">
        <v>6</v>
      </c>
      <c r="JS2" s="13">
        <v>7</v>
      </c>
      <c r="JT2" s="13">
        <v>5</v>
      </c>
      <c r="JU2" s="13">
        <v>8</v>
      </c>
      <c r="JV2" s="13">
        <v>4</v>
      </c>
      <c r="JW2" s="13">
        <v>3</v>
      </c>
      <c r="JX2" s="13">
        <v>7</v>
      </c>
      <c r="JY2" s="13">
        <v>1</v>
      </c>
      <c r="JZ2" s="13">
        <v>17</v>
      </c>
      <c r="KA2" s="13">
        <v>14</v>
      </c>
      <c r="KB2" s="13">
        <v>1</v>
      </c>
      <c r="KC2" s="13">
        <v>1</v>
      </c>
      <c r="KD2" s="13">
        <v>2</v>
      </c>
      <c r="KE2" s="13">
        <v>2</v>
      </c>
      <c r="KF2" s="13">
        <v>1</v>
      </c>
      <c r="KG2" s="13">
        <v>3</v>
      </c>
      <c r="KH2" s="13">
        <v>2</v>
      </c>
      <c r="KI2" s="13">
        <v>1</v>
      </c>
      <c r="KJ2" s="13">
        <v>12</v>
      </c>
      <c r="KK2" s="13">
        <v>4</v>
      </c>
      <c r="KL2" s="13">
        <v>22</v>
      </c>
      <c r="KM2" s="13">
        <v>6</v>
      </c>
      <c r="KN2" s="13">
        <v>3</v>
      </c>
      <c r="KO2" s="13">
        <v>11</v>
      </c>
      <c r="KP2" s="13">
        <v>12</v>
      </c>
      <c r="KQ2" s="13">
        <v>6</v>
      </c>
      <c r="KR2" s="13">
        <v>10</v>
      </c>
      <c r="KS2" s="13">
        <v>30</v>
      </c>
      <c r="KT2" s="13">
        <v>11</v>
      </c>
      <c r="KU2" s="13">
        <v>12</v>
      </c>
      <c r="KV2" s="13">
        <v>16</v>
      </c>
      <c r="KW2" s="13">
        <v>27</v>
      </c>
      <c r="KX2" s="13">
        <v>26</v>
      </c>
      <c r="KY2" s="13">
        <v>46</v>
      </c>
      <c r="KZ2" s="13">
        <v>46</v>
      </c>
      <c r="LA2" s="13">
        <v>89</v>
      </c>
      <c r="LB2" s="13">
        <v>108</v>
      </c>
      <c r="LC2" s="13">
        <v>99</v>
      </c>
      <c r="LD2" s="13">
        <v>46</v>
      </c>
      <c r="LE2" s="13">
        <v>42</v>
      </c>
      <c r="LF2" s="13">
        <v>63</v>
      </c>
      <c r="LG2" s="13">
        <v>62</v>
      </c>
      <c r="LH2" s="13">
        <v>32</v>
      </c>
      <c r="LI2" s="13">
        <v>39</v>
      </c>
      <c r="LJ2" s="13">
        <v>30</v>
      </c>
      <c r="LK2" s="13">
        <v>19</v>
      </c>
      <c r="LL2" s="13">
        <v>31</v>
      </c>
      <c r="LM2" s="13">
        <v>35</v>
      </c>
      <c r="LN2" s="13">
        <v>36</v>
      </c>
      <c r="LO2" s="13">
        <v>48</v>
      </c>
      <c r="LP2" s="13">
        <v>31</v>
      </c>
      <c r="LQ2" s="13">
        <v>45</v>
      </c>
      <c r="LR2" s="13">
        <v>54</v>
      </c>
      <c r="LS2" s="13">
        <v>55</v>
      </c>
      <c r="LT2" s="13">
        <v>67</v>
      </c>
      <c r="LU2" s="13">
        <v>47</v>
      </c>
      <c r="LV2" s="13">
        <v>78</v>
      </c>
      <c r="LW2" s="13">
        <v>39</v>
      </c>
      <c r="LX2" s="13">
        <v>46</v>
      </c>
      <c r="LY2" s="13">
        <v>41</v>
      </c>
      <c r="LZ2" s="13">
        <v>39</v>
      </c>
      <c r="MA2" s="13">
        <v>34</v>
      </c>
      <c r="MB2" s="13">
        <v>13</v>
      </c>
      <c r="MC2" s="13">
        <v>21</v>
      </c>
      <c r="MD2" s="13">
        <v>16</v>
      </c>
      <c r="ME2" s="13">
        <v>20</v>
      </c>
      <c r="MF2" s="13">
        <v>11</v>
      </c>
      <c r="MG2" s="13">
        <v>8</v>
      </c>
      <c r="MH2" s="13">
        <v>15</v>
      </c>
      <c r="MI2" s="13">
        <v>24</v>
      </c>
      <c r="MJ2" s="13">
        <v>19</v>
      </c>
      <c r="MK2" s="13">
        <v>40</v>
      </c>
      <c r="ML2" s="13">
        <v>44</v>
      </c>
      <c r="MM2" s="13">
        <v>99</v>
      </c>
      <c r="MN2" s="13">
        <v>143</v>
      </c>
      <c r="MO2" s="13">
        <v>139</v>
      </c>
      <c r="MP2" s="13">
        <v>119</v>
      </c>
      <c r="MQ2" s="13">
        <v>125</v>
      </c>
      <c r="MR2" s="13">
        <v>203</v>
      </c>
      <c r="MS2" s="13">
        <v>573</v>
      </c>
      <c r="MT2" s="13">
        <v>427</v>
      </c>
      <c r="MU2" s="13">
        <v>327</v>
      </c>
      <c r="MV2" s="13">
        <v>433</v>
      </c>
      <c r="MW2" s="13">
        <v>406</v>
      </c>
      <c r="MX2" s="13">
        <v>508</v>
      </c>
      <c r="MY2" s="13">
        <v>409</v>
      </c>
      <c r="MZ2" s="13">
        <v>648</v>
      </c>
      <c r="NA2" s="13">
        <v>397</v>
      </c>
      <c r="NB2" s="13">
        <v>889</v>
      </c>
      <c r="NC2" s="13">
        <v>820</v>
      </c>
      <c r="ND2" s="13">
        <v>1749</v>
      </c>
      <c r="NE2" s="13">
        <v>1886</v>
      </c>
      <c r="NF2" s="13">
        <v>2048</v>
      </c>
      <c r="NG2" s="13">
        <v>2009</v>
      </c>
      <c r="NH2" s="13">
        <v>2641</v>
      </c>
      <c r="NI2" s="11">
        <v>5090</v>
      </c>
      <c r="NJ2" s="11">
        <v>15152</v>
      </c>
      <c r="NK2" s="13">
        <v>2015</v>
      </c>
      <c r="NL2" s="13">
        <v>2478</v>
      </c>
      <c r="NM2" s="11">
        <v>3062</v>
      </c>
      <c r="NN2" s="11">
        <v>2656</v>
      </c>
      <c r="NO2" s="11">
        <v>3399</v>
      </c>
      <c r="NP2" s="11">
        <v>3143</v>
      </c>
      <c r="NQ2" s="11">
        <v>3694</v>
      </c>
      <c r="NR2" s="11">
        <v>3887</v>
      </c>
      <c r="NS2" s="11">
        <v>3235</v>
      </c>
      <c r="NT2" s="11">
        <v>2829</v>
      </c>
      <c r="NU2" s="11">
        <v>2590</v>
      </c>
      <c r="NV2" s="11">
        <v>2102</v>
      </c>
      <c r="NW2" s="11">
        <v>1982</v>
      </c>
      <c r="NX2" s="11">
        <v>1737</v>
      </c>
      <c r="NY2" s="11">
        <v>1459</v>
      </c>
      <c r="NZ2" s="11">
        <v>1771</v>
      </c>
      <c r="OA2" s="11">
        <v>769</v>
      </c>
      <c r="OB2" s="11">
        <v>688</v>
      </c>
      <c r="OC2" s="11">
        <v>444</v>
      </c>
      <c r="OD2" s="11">
        <v>259</v>
      </c>
      <c r="OE2" s="11">
        <v>131</v>
      </c>
      <c r="OF2" s="11">
        <v>149</v>
      </c>
      <c r="OG2" s="11">
        <v>77</v>
      </c>
    </row>
    <row r="3" spans="1:397">
      <c r="A3" s="13" t="s">
        <v>102</v>
      </c>
      <c r="B3" s="13">
        <f t="shared" ref="B3:DA3" si="0">B27+B2</f>
        <v>18</v>
      </c>
      <c r="C3" s="13">
        <f t="shared" si="0"/>
        <v>31</v>
      </c>
      <c r="D3" s="13">
        <f t="shared" si="0"/>
        <v>13</v>
      </c>
      <c r="E3" s="13">
        <f t="shared" si="0"/>
        <v>27</v>
      </c>
      <c r="F3" s="13">
        <f t="shared" si="0"/>
        <v>19</v>
      </c>
      <c r="G3" s="13">
        <f t="shared" si="0"/>
        <v>24</v>
      </c>
      <c r="H3" s="13">
        <f t="shared" si="0"/>
        <v>22</v>
      </c>
      <c r="I3" s="13">
        <f t="shared" si="0"/>
        <v>20</v>
      </c>
      <c r="J3" s="13">
        <f t="shared" si="0"/>
        <v>18</v>
      </c>
      <c r="K3" s="13">
        <f t="shared" si="0"/>
        <v>21</v>
      </c>
      <c r="L3" s="13">
        <f t="shared" si="0"/>
        <v>29</v>
      </c>
      <c r="M3" s="13">
        <f t="shared" si="0"/>
        <v>30</v>
      </c>
      <c r="N3" s="13">
        <f t="shared" si="0"/>
        <v>24</v>
      </c>
      <c r="O3" s="13">
        <f t="shared" si="0"/>
        <v>22</v>
      </c>
      <c r="P3" s="13">
        <f t="shared" si="0"/>
        <v>48</v>
      </c>
      <c r="Q3" s="13">
        <f t="shared" si="0"/>
        <v>42</v>
      </c>
      <c r="R3" s="13">
        <f t="shared" si="0"/>
        <v>37</v>
      </c>
      <c r="S3" s="13">
        <f t="shared" si="0"/>
        <v>45</v>
      </c>
      <c r="T3" s="13">
        <f t="shared" si="0"/>
        <v>58</v>
      </c>
      <c r="U3" s="13">
        <f t="shared" si="0"/>
        <v>111</v>
      </c>
      <c r="V3" s="13">
        <f t="shared" si="0"/>
        <v>68</v>
      </c>
      <c r="W3" s="13">
        <f t="shared" si="0"/>
        <v>94</v>
      </c>
      <c r="X3" s="13">
        <f t="shared" si="0"/>
        <v>95</v>
      </c>
      <c r="Y3" s="13">
        <f t="shared" si="0"/>
        <v>136</v>
      </c>
      <c r="Z3" s="13">
        <f t="shared" si="0"/>
        <v>139</v>
      </c>
      <c r="AA3" s="13">
        <f t="shared" si="0"/>
        <v>169</v>
      </c>
      <c r="AB3" s="13">
        <f t="shared" si="0"/>
        <v>172</v>
      </c>
      <c r="AC3" s="13">
        <f t="shared" si="0"/>
        <v>206</v>
      </c>
      <c r="AD3" s="13">
        <f t="shared" si="0"/>
        <v>222</v>
      </c>
      <c r="AE3" s="13">
        <f t="shared" si="0"/>
        <v>257</v>
      </c>
      <c r="AF3" s="13">
        <f t="shared" si="0"/>
        <v>161</v>
      </c>
      <c r="AG3" s="13">
        <f t="shared" si="0"/>
        <v>209</v>
      </c>
      <c r="AH3" s="13">
        <f t="shared" si="0"/>
        <v>224</v>
      </c>
      <c r="AI3" s="13">
        <f t="shared" si="0"/>
        <v>228</v>
      </c>
      <c r="AJ3" s="13">
        <f t="shared" si="0"/>
        <v>209</v>
      </c>
      <c r="AK3" s="13">
        <f t="shared" si="0"/>
        <v>210</v>
      </c>
      <c r="AL3" s="13">
        <f t="shared" si="0"/>
        <v>216</v>
      </c>
      <c r="AM3" s="13">
        <f t="shared" si="0"/>
        <v>153</v>
      </c>
      <c r="AN3" s="13">
        <f t="shared" si="0"/>
        <v>136</v>
      </c>
      <c r="AO3" s="13">
        <f t="shared" si="0"/>
        <v>179</v>
      </c>
      <c r="AP3" s="13">
        <f t="shared" si="0"/>
        <v>96</v>
      </c>
      <c r="AQ3" s="13">
        <f t="shared" si="0"/>
        <v>71</v>
      </c>
      <c r="AR3" s="13">
        <f t="shared" si="0"/>
        <v>110</v>
      </c>
      <c r="AS3" s="13">
        <f t="shared" si="0"/>
        <v>142</v>
      </c>
      <c r="AT3" s="13">
        <f t="shared" si="0"/>
        <v>96</v>
      </c>
      <c r="AU3" s="13">
        <f t="shared" si="0"/>
        <v>70</v>
      </c>
      <c r="AV3" s="13">
        <f t="shared" si="0"/>
        <v>73</v>
      </c>
      <c r="AW3" s="13">
        <f t="shared" si="0"/>
        <v>32</v>
      </c>
      <c r="AX3" s="13">
        <f t="shared" si="0"/>
        <v>43</v>
      </c>
      <c r="AY3" s="13">
        <f t="shared" si="0"/>
        <v>38</v>
      </c>
      <c r="AZ3" s="13">
        <f t="shared" si="0"/>
        <v>33</v>
      </c>
      <c r="BA3" s="13">
        <f t="shared" si="0"/>
        <v>41</v>
      </c>
      <c r="BB3" s="13">
        <f t="shared" si="0"/>
        <v>35</v>
      </c>
      <c r="BC3" s="13">
        <f t="shared" si="0"/>
        <v>41</v>
      </c>
      <c r="BD3" s="13">
        <f t="shared" si="0"/>
        <v>37</v>
      </c>
      <c r="BE3" s="13">
        <f t="shared" si="0"/>
        <v>39</v>
      </c>
      <c r="BF3" s="13">
        <f t="shared" si="0"/>
        <v>31</v>
      </c>
      <c r="BG3" s="13">
        <f t="shared" si="0"/>
        <v>36</v>
      </c>
      <c r="BH3" s="13">
        <f t="shared" si="0"/>
        <v>29</v>
      </c>
      <c r="BI3" s="13">
        <f t="shared" si="0"/>
        <v>32</v>
      </c>
      <c r="BJ3" s="13">
        <f t="shared" si="0"/>
        <v>38</v>
      </c>
      <c r="BK3" s="13">
        <f t="shared" si="0"/>
        <v>33</v>
      </c>
      <c r="BL3" s="13">
        <f t="shared" si="0"/>
        <v>33</v>
      </c>
      <c r="BM3" s="13">
        <f t="shared" si="0"/>
        <v>23</v>
      </c>
      <c r="BN3" s="13">
        <f t="shared" si="0"/>
        <v>13</v>
      </c>
      <c r="BO3" s="13">
        <f t="shared" si="0"/>
        <v>21</v>
      </c>
      <c r="BP3" s="13">
        <f t="shared" si="0"/>
        <v>25</v>
      </c>
      <c r="BQ3" s="13">
        <f t="shared" si="0"/>
        <v>25</v>
      </c>
      <c r="BR3" s="13">
        <f t="shared" si="0"/>
        <v>38</v>
      </c>
      <c r="BS3" s="13">
        <f t="shared" si="0"/>
        <v>30</v>
      </c>
      <c r="BT3" s="13">
        <f t="shared" si="0"/>
        <v>22</v>
      </c>
      <c r="BU3" s="13">
        <f t="shared" si="0"/>
        <v>17</v>
      </c>
      <c r="BV3" s="13">
        <f t="shared" si="0"/>
        <v>16</v>
      </c>
      <c r="BW3" s="13">
        <f t="shared" si="0"/>
        <v>17</v>
      </c>
      <c r="BX3" s="13">
        <f t="shared" si="0"/>
        <v>21</v>
      </c>
      <c r="BY3" s="13">
        <f t="shared" si="0"/>
        <v>20</v>
      </c>
      <c r="BZ3" s="13">
        <f t="shared" si="0"/>
        <v>29</v>
      </c>
      <c r="CA3" s="13">
        <f t="shared" si="0"/>
        <v>29</v>
      </c>
      <c r="CB3" s="13">
        <f t="shared" si="0"/>
        <v>22</v>
      </c>
      <c r="CC3" s="13">
        <f t="shared" si="0"/>
        <v>12</v>
      </c>
      <c r="CD3" s="13">
        <f t="shared" si="0"/>
        <v>17</v>
      </c>
      <c r="CE3" s="13">
        <f t="shared" si="0"/>
        <v>35</v>
      </c>
      <c r="CF3" s="13">
        <f t="shared" si="0"/>
        <v>21</v>
      </c>
      <c r="CG3" s="13">
        <f t="shared" si="0"/>
        <v>10</v>
      </c>
      <c r="CH3" s="13">
        <f t="shared" si="0"/>
        <v>13</v>
      </c>
      <c r="CI3" s="13">
        <f t="shared" si="0"/>
        <v>26</v>
      </c>
      <c r="CJ3" s="13">
        <f t="shared" si="0"/>
        <v>11</v>
      </c>
      <c r="CK3" s="13">
        <f t="shared" si="0"/>
        <v>30</v>
      </c>
      <c r="CL3" s="13">
        <f t="shared" si="0"/>
        <v>21</v>
      </c>
      <c r="CM3" s="13">
        <f t="shared" si="0"/>
        <v>28</v>
      </c>
      <c r="CN3" s="13">
        <f t="shared" si="0"/>
        <v>34</v>
      </c>
      <c r="CO3" s="13">
        <f t="shared" si="0"/>
        <v>31</v>
      </c>
      <c r="CP3" s="13">
        <f t="shared" si="0"/>
        <v>22</v>
      </c>
      <c r="CQ3" s="13">
        <f t="shared" si="0"/>
        <v>13</v>
      </c>
      <c r="CR3" s="13">
        <f t="shared" si="0"/>
        <v>27</v>
      </c>
      <c r="CS3" s="13">
        <f t="shared" si="0"/>
        <v>22</v>
      </c>
      <c r="CT3" s="13">
        <f t="shared" si="0"/>
        <v>19</v>
      </c>
      <c r="CU3" s="13">
        <f t="shared" si="0"/>
        <v>28</v>
      </c>
      <c r="CV3" s="13">
        <f t="shared" si="0"/>
        <v>23</v>
      </c>
      <c r="CW3" s="13">
        <f t="shared" si="0"/>
        <v>21</v>
      </c>
      <c r="CX3" s="13">
        <f t="shared" si="0"/>
        <v>32</v>
      </c>
      <c r="CY3" s="13">
        <f t="shared" si="0"/>
        <v>47</v>
      </c>
      <c r="CZ3" s="13">
        <f t="shared" si="0"/>
        <v>42</v>
      </c>
      <c r="DA3" s="13">
        <f t="shared" si="0"/>
        <v>64</v>
      </c>
      <c r="DB3" s="13">
        <f t="shared" ref="DB3:EO3" si="1">DB27+DB2</f>
        <v>60</v>
      </c>
      <c r="DC3" s="13">
        <f t="shared" si="1"/>
        <v>69</v>
      </c>
      <c r="DD3" s="13">
        <f t="shared" si="1"/>
        <v>52</v>
      </c>
      <c r="DE3" s="13">
        <f t="shared" si="1"/>
        <v>145</v>
      </c>
      <c r="DF3" s="13">
        <f t="shared" si="1"/>
        <v>110</v>
      </c>
      <c r="DG3" s="13">
        <f t="shared" si="1"/>
        <v>54</v>
      </c>
      <c r="DH3" s="13">
        <f t="shared" si="1"/>
        <v>93</v>
      </c>
      <c r="DI3" s="13">
        <f t="shared" si="1"/>
        <v>71</v>
      </c>
      <c r="DJ3" s="13">
        <f t="shared" si="1"/>
        <v>78</v>
      </c>
      <c r="DK3" s="13">
        <f t="shared" si="1"/>
        <v>63</v>
      </c>
      <c r="DL3" s="13">
        <f t="shared" si="1"/>
        <v>80</v>
      </c>
      <c r="DM3" s="13">
        <f t="shared" si="1"/>
        <v>66</v>
      </c>
      <c r="DN3" s="13">
        <f t="shared" si="1"/>
        <v>181</v>
      </c>
      <c r="DO3" s="13">
        <f t="shared" si="1"/>
        <v>34</v>
      </c>
      <c r="DP3" s="13">
        <f t="shared" si="1"/>
        <v>55</v>
      </c>
      <c r="DQ3" s="13">
        <f t="shared" si="1"/>
        <v>29</v>
      </c>
      <c r="DR3" s="13">
        <f t="shared" si="1"/>
        <v>39</v>
      </c>
      <c r="DS3" s="13">
        <f t="shared" si="1"/>
        <v>26</v>
      </c>
      <c r="DT3" s="13">
        <f t="shared" si="1"/>
        <v>43</v>
      </c>
      <c r="DU3" s="13">
        <f t="shared" si="1"/>
        <v>46</v>
      </c>
      <c r="DV3" s="13">
        <f t="shared" si="1"/>
        <v>47</v>
      </c>
      <c r="DW3" s="13">
        <f t="shared" si="1"/>
        <v>24</v>
      </c>
      <c r="DX3" s="13">
        <f t="shared" si="1"/>
        <v>34</v>
      </c>
      <c r="DY3" s="13">
        <f t="shared" si="1"/>
        <v>34</v>
      </c>
      <c r="DZ3" s="13">
        <f t="shared" si="1"/>
        <v>38</v>
      </c>
      <c r="EA3" s="13">
        <f t="shared" si="1"/>
        <v>30</v>
      </c>
      <c r="EB3" s="13">
        <f t="shared" si="1"/>
        <v>53</v>
      </c>
      <c r="EC3" s="13">
        <f t="shared" si="1"/>
        <v>44</v>
      </c>
      <c r="ED3" s="13">
        <f t="shared" si="1"/>
        <v>54</v>
      </c>
      <c r="EE3" s="13">
        <f t="shared" si="1"/>
        <v>36</v>
      </c>
      <c r="EF3" s="13">
        <f t="shared" si="1"/>
        <v>19</v>
      </c>
      <c r="EG3" s="13">
        <f t="shared" si="1"/>
        <v>31</v>
      </c>
      <c r="EH3" s="13">
        <f t="shared" si="1"/>
        <v>43</v>
      </c>
      <c r="EI3" s="13">
        <f t="shared" si="1"/>
        <v>47</v>
      </c>
      <c r="EJ3" s="13">
        <f t="shared" si="1"/>
        <v>42</v>
      </c>
      <c r="EK3" s="13">
        <f t="shared" si="1"/>
        <v>22</v>
      </c>
      <c r="EL3" s="13">
        <f t="shared" si="1"/>
        <v>43</v>
      </c>
      <c r="EM3" s="13">
        <f t="shared" si="1"/>
        <v>21</v>
      </c>
      <c r="EN3" s="13">
        <f t="shared" si="1"/>
        <v>41</v>
      </c>
      <c r="EO3" s="13">
        <f t="shared" si="1"/>
        <v>38</v>
      </c>
      <c r="EP3" s="13">
        <f t="shared" ref="EP3:GP3" si="2">EP27+EP2</f>
        <v>35</v>
      </c>
      <c r="EQ3" s="13">
        <f t="shared" si="2"/>
        <v>40</v>
      </c>
      <c r="ER3" s="13">
        <f t="shared" si="2"/>
        <v>45</v>
      </c>
      <c r="ES3" s="13">
        <f t="shared" si="2"/>
        <v>26</v>
      </c>
      <c r="ET3" s="13">
        <f t="shared" si="2"/>
        <v>27</v>
      </c>
      <c r="EU3" s="13">
        <f t="shared" si="2"/>
        <v>28</v>
      </c>
      <c r="EV3" s="13">
        <f t="shared" si="2"/>
        <v>21</v>
      </c>
      <c r="EW3" s="13">
        <f t="shared" si="2"/>
        <v>37</v>
      </c>
      <c r="EX3" s="13">
        <f t="shared" si="2"/>
        <v>31</v>
      </c>
      <c r="EY3" s="13">
        <f t="shared" si="2"/>
        <v>38</v>
      </c>
      <c r="EZ3" s="13">
        <f t="shared" si="2"/>
        <v>52</v>
      </c>
      <c r="FA3" s="13">
        <f t="shared" si="2"/>
        <v>23</v>
      </c>
      <c r="FB3" s="13">
        <f t="shared" si="2"/>
        <v>28</v>
      </c>
      <c r="FC3" s="13">
        <f t="shared" si="2"/>
        <v>17</v>
      </c>
      <c r="FD3" s="13">
        <f t="shared" si="2"/>
        <v>49</v>
      </c>
      <c r="FE3" s="13">
        <f t="shared" si="2"/>
        <v>80</v>
      </c>
      <c r="FF3" s="13">
        <f t="shared" si="2"/>
        <v>14</v>
      </c>
      <c r="FG3" s="13">
        <f t="shared" si="2"/>
        <v>37</v>
      </c>
      <c r="FH3" s="13">
        <f t="shared" si="2"/>
        <v>22</v>
      </c>
      <c r="FI3" s="13">
        <f t="shared" si="2"/>
        <v>10</v>
      </c>
      <c r="FJ3" s="13">
        <f t="shared" si="2"/>
        <v>23</v>
      </c>
      <c r="FK3" s="13">
        <f t="shared" si="2"/>
        <v>29</v>
      </c>
      <c r="FL3" s="13">
        <f t="shared" si="2"/>
        <v>27</v>
      </c>
      <c r="FM3" s="13">
        <f t="shared" si="2"/>
        <v>18</v>
      </c>
      <c r="FN3" s="13">
        <f t="shared" si="2"/>
        <v>51</v>
      </c>
      <c r="FO3" s="13">
        <f t="shared" si="2"/>
        <v>23</v>
      </c>
      <c r="FP3" s="13">
        <f t="shared" si="2"/>
        <v>27</v>
      </c>
      <c r="FQ3" s="13">
        <f t="shared" si="2"/>
        <v>44</v>
      </c>
      <c r="FR3" s="13">
        <f t="shared" si="2"/>
        <v>36</v>
      </c>
      <c r="FS3" s="13">
        <f t="shared" si="2"/>
        <v>13</v>
      </c>
      <c r="FT3" s="13">
        <f t="shared" si="2"/>
        <v>19</v>
      </c>
      <c r="FU3" s="13">
        <f t="shared" si="2"/>
        <v>25</v>
      </c>
      <c r="FV3" s="13">
        <f t="shared" si="2"/>
        <v>27</v>
      </c>
      <c r="FW3" s="13">
        <f t="shared" si="2"/>
        <v>29</v>
      </c>
      <c r="FX3" s="13">
        <f t="shared" si="2"/>
        <v>30</v>
      </c>
      <c r="FY3" s="13">
        <f t="shared" si="2"/>
        <v>43</v>
      </c>
      <c r="FZ3" s="13">
        <f t="shared" si="2"/>
        <v>27</v>
      </c>
      <c r="GA3" s="13">
        <f t="shared" si="2"/>
        <v>56</v>
      </c>
      <c r="GB3" s="13">
        <f t="shared" si="2"/>
        <v>45</v>
      </c>
      <c r="GC3" s="13">
        <f t="shared" si="2"/>
        <v>29</v>
      </c>
      <c r="GD3" s="13">
        <f t="shared" si="2"/>
        <v>31</v>
      </c>
      <c r="GE3" s="13">
        <f t="shared" si="2"/>
        <v>39</v>
      </c>
      <c r="GF3" s="13">
        <f t="shared" si="2"/>
        <v>59</v>
      </c>
      <c r="GG3" s="13">
        <f t="shared" si="2"/>
        <v>35</v>
      </c>
      <c r="GH3" s="13">
        <f t="shared" si="2"/>
        <v>42</v>
      </c>
      <c r="GI3" s="13">
        <f t="shared" si="2"/>
        <v>58</v>
      </c>
      <c r="GJ3" s="13">
        <f t="shared" si="2"/>
        <v>39</v>
      </c>
      <c r="GK3" s="13">
        <f t="shared" si="2"/>
        <v>45</v>
      </c>
      <c r="GL3" s="13">
        <f t="shared" si="2"/>
        <v>61</v>
      </c>
      <c r="GM3" s="13">
        <f t="shared" si="2"/>
        <v>80</v>
      </c>
      <c r="GN3" s="13">
        <f t="shared" si="2"/>
        <v>34</v>
      </c>
      <c r="GO3" s="13">
        <f t="shared" si="2"/>
        <v>45</v>
      </c>
      <c r="GP3" s="13">
        <f t="shared" si="2"/>
        <v>51</v>
      </c>
      <c r="GQ3" s="13">
        <f t="shared" ref="GQ3" si="3">GQ27+GQ2</f>
        <v>57</v>
      </c>
      <c r="GR3" s="13">
        <f t="shared" ref="GR3:HW3" si="4">GR27+GR2</f>
        <v>51</v>
      </c>
      <c r="GS3" s="13">
        <f t="shared" si="4"/>
        <v>57</v>
      </c>
      <c r="GT3" s="13">
        <f t="shared" si="4"/>
        <v>54</v>
      </c>
      <c r="GU3" s="13">
        <f t="shared" si="4"/>
        <v>69</v>
      </c>
      <c r="GV3" s="13">
        <f t="shared" si="4"/>
        <v>68</v>
      </c>
      <c r="GW3" s="13">
        <f t="shared" si="4"/>
        <v>138</v>
      </c>
      <c r="GX3" s="13">
        <f t="shared" si="4"/>
        <v>126</v>
      </c>
      <c r="GY3" s="13">
        <f t="shared" si="4"/>
        <v>128</v>
      </c>
      <c r="GZ3" s="13">
        <f t="shared" si="4"/>
        <v>102</v>
      </c>
      <c r="HA3" s="13">
        <f t="shared" si="4"/>
        <v>105</v>
      </c>
      <c r="HB3" s="13">
        <f t="shared" si="4"/>
        <v>114</v>
      </c>
      <c r="HC3" s="13">
        <f t="shared" si="4"/>
        <v>108</v>
      </c>
      <c r="HD3" s="13">
        <f t="shared" si="4"/>
        <v>64</v>
      </c>
      <c r="HE3" s="13">
        <f t="shared" si="4"/>
        <v>53</v>
      </c>
      <c r="HF3" s="13">
        <f t="shared" si="4"/>
        <v>36</v>
      </c>
      <c r="HG3" s="13">
        <f t="shared" si="4"/>
        <v>17</v>
      </c>
      <c r="HH3" s="13">
        <f t="shared" si="4"/>
        <v>35</v>
      </c>
      <c r="HI3" s="13">
        <f t="shared" si="4"/>
        <v>58</v>
      </c>
      <c r="HJ3" s="13">
        <f t="shared" si="4"/>
        <v>36</v>
      </c>
      <c r="HK3" s="13">
        <f t="shared" si="4"/>
        <v>15</v>
      </c>
      <c r="HL3" s="13">
        <f t="shared" si="4"/>
        <v>3</v>
      </c>
      <c r="HM3" s="13">
        <f t="shared" si="4"/>
        <v>10</v>
      </c>
      <c r="HN3" s="13">
        <f t="shared" si="4"/>
        <v>8</v>
      </c>
      <c r="HO3" s="13">
        <f t="shared" si="4"/>
        <v>14</v>
      </c>
      <c r="HP3" s="13">
        <f t="shared" si="4"/>
        <v>12</v>
      </c>
      <c r="HQ3" s="13">
        <f t="shared" si="4"/>
        <v>6</v>
      </c>
      <c r="HR3" s="13">
        <f t="shared" si="4"/>
        <v>7</v>
      </c>
      <c r="HS3" s="13">
        <f t="shared" si="4"/>
        <v>15</v>
      </c>
      <c r="HT3" s="13">
        <f t="shared" si="4"/>
        <v>13</v>
      </c>
      <c r="HU3" s="13">
        <f t="shared" si="4"/>
        <v>23</v>
      </c>
      <c r="HV3" s="13">
        <f t="shared" si="4"/>
        <v>15</v>
      </c>
      <c r="HW3" s="13">
        <f t="shared" si="4"/>
        <v>15</v>
      </c>
      <c r="HX3" s="13">
        <f t="shared" ref="HX3:JC3" si="5">HX27+HX2</f>
        <v>7</v>
      </c>
      <c r="HY3" s="13">
        <f t="shared" si="5"/>
        <v>9</v>
      </c>
      <c r="HZ3" s="13">
        <f t="shared" si="5"/>
        <v>5</v>
      </c>
      <c r="IA3" s="13">
        <f t="shared" si="5"/>
        <v>6</v>
      </c>
      <c r="IB3" s="13">
        <f t="shared" si="5"/>
        <v>23</v>
      </c>
      <c r="IC3" s="13">
        <f t="shared" si="5"/>
        <v>18</v>
      </c>
      <c r="ID3" s="13">
        <f t="shared" si="5"/>
        <v>24</v>
      </c>
      <c r="IE3" s="13">
        <f t="shared" si="5"/>
        <v>33</v>
      </c>
      <c r="IF3" s="13">
        <f t="shared" si="5"/>
        <v>18</v>
      </c>
      <c r="IG3" s="13">
        <f t="shared" si="5"/>
        <v>20</v>
      </c>
      <c r="IH3" s="13">
        <f t="shared" si="5"/>
        <v>15</v>
      </c>
      <c r="II3" s="13">
        <f t="shared" si="5"/>
        <v>29</v>
      </c>
      <c r="IJ3" s="13">
        <f t="shared" si="5"/>
        <v>25</v>
      </c>
      <c r="IK3" s="13">
        <f t="shared" si="5"/>
        <v>32</v>
      </c>
      <c r="IL3" s="13">
        <f t="shared" si="5"/>
        <v>34</v>
      </c>
      <c r="IM3" s="13">
        <f t="shared" si="5"/>
        <v>37</v>
      </c>
      <c r="IN3" s="13">
        <f t="shared" si="5"/>
        <v>36</v>
      </c>
      <c r="IO3" s="13">
        <f t="shared" si="5"/>
        <v>55</v>
      </c>
      <c r="IP3" s="13">
        <f t="shared" si="5"/>
        <v>46</v>
      </c>
      <c r="IQ3" s="13">
        <f t="shared" si="5"/>
        <v>67</v>
      </c>
      <c r="IR3" s="13">
        <f t="shared" si="5"/>
        <v>66</v>
      </c>
      <c r="IS3" s="13">
        <f t="shared" si="5"/>
        <v>18</v>
      </c>
      <c r="IT3" s="13">
        <f t="shared" si="5"/>
        <v>8</v>
      </c>
      <c r="IU3" s="13">
        <f t="shared" si="5"/>
        <v>15</v>
      </c>
      <c r="IV3" s="13">
        <f t="shared" si="5"/>
        <v>8</v>
      </c>
      <c r="IW3" s="13">
        <f t="shared" si="5"/>
        <v>24</v>
      </c>
      <c r="IX3" s="13">
        <f t="shared" si="5"/>
        <v>6</v>
      </c>
      <c r="IY3" s="13">
        <f t="shared" si="5"/>
        <v>11</v>
      </c>
      <c r="IZ3" s="13">
        <f t="shared" si="5"/>
        <v>5</v>
      </c>
      <c r="JA3" s="13">
        <f t="shared" si="5"/>
        <v>8</v>
      </c>
      <c r="JB3" s="13">
        <f t="shared" si="5"/>
        <v>5</v>
      </c>
      <c r="JC3" s="13">
        <f t="shared" si="5"/>
        <v>5</v>
      </c>
      <c r="JD3" s="13">
        <f t="shared" ref="JD3:KI3" si="6">JD27+JD2</f>
        <v>15</v>
      </c>
      <c r="JE3" s="13">
        <f t="shared" si="6"/>
        <v>32</v>
      </c>
      <c r="JF3" s="13">
        <f t="shared" si="6"/>
        <v>5</v>
      </c>
      <c r="JG3" s="13">
        <f t="shared" si="6"/>
        <v>8</v>
      </c>
      <c r="JH3" s="13">
        <f t="shared" si="6"/>
        <v>5</v>
      </c>
      <c r="JI3" s="13">
        <f t="shared" si="6"/>
        <v>25</v>
      </c>
      <c r="JJ3" s="13">
        <f t="shared" si="6"/>
        <v>29</v>
      </c>
      <c r="JK3" s="13">
        <f t="shared" si="6"/>
        <v>36</v>
      </c>
      <c r="JL3" s="13">
        <f t="shared" si="6"/>
        <v>51</v>
      </c>
      <c r="JM3" s="13">
        <f t="shared" si="6"/>
        <v>39</v>
      </c>
      <c r="JN3" s="13">
        <f t="shared" si="6"/>
        <v>28</v>
      </c>
      <c r="JO3" s="13">
        <f t="shared" si="6"/>
        <v>39</v>
      </c>
      <c r="JP3" s="13">
        <f t="shared" si="6"/>
        <v>33</v>
      </c>
      <c r="JQ3" s="13">
        <f t="shared" si="6"/>
        <v>21</v>
      </c>
      <c r="JR3" s="13">
        <f t="shared" si="6"/>
        <v>23</v>
      </c>
      <c r="JS3" s="13">
        <f t="shared" si="6"/>
        <v>25</v>
      </c>
      <c r="JT3" s="13">
        <f t="shared" si="6"/>
        <v>17</v>
      </c>
      <c r="JU3" s="13">
        <f t="shared" si="6"/>
        <v>21</v>
      </c>
      <c r="JV3" s="13">
        <f t="shared" si="6"/>
        <v>15</v>
      </c>
      <c r="JW3" s="13">
        <f t="shared" si="6"/>
        <v>15</v>
      </c>
      <c r="JX3" s="13">
        <f t="shared" si="6"/>
        <v>15</v>
      </c>
      <c r="JY3" s="13">
        <f t="shared" si="6"/>
        <v>16</v>
      </c>
      <c r="JZ3" s="13">
        <f t="shared" si="6"/>
        <v>29</v>
      </c>
      <c r="KA3" s="13">
        <f t="shared" si="6"/>
        <v>34</v>
      </c>
      <c r="KB3" s="13">
        <f t="shared" si="6"/>
        <v>16</v>
      </c>
      <c r="KC3" s="13">
        <f t="shared" si="6"/>
        <v>17</v>
      </c>
      <c r="KD3" s="13">
        <f t="shared" si="6"/>
        <v>8</v>
      </c>
      <c r="KE3" s="13">
        <f t="shared" si="6"/>
        <v>22</v>
      </c>
      <c r="KF3" s="13">
        <f t="shared" si="6"/>
        <v>16</v>
      </c>
      <c r="KG3" s="13">
        <f t="shared" si="6"/>
        <v>16</v>
      </c>
      <c r="KH3" s="13">
        <f t="shared" si="6"/>
        <v>14</v>
      </c>
      <c r="KI3" s="13">
        <f t="shared" si="6"/>
        <v>21</v>
      </c>
      <c r="KJ3" s="13">
        <f t="shared" ref="KJ3:LN3" si="7">KJ27+KJ2</f>
        <v>37</v>
      </c>
      <c r="KK3" s="13">
        <f t="shared" si="7"/>
        <v>37</v>
      </c>
      <c r="KL3" s="13">
        <f t="shared" si="7"/>
        <v>48</v>
      </c>
      <c r="KM3" s="13">
        <f t="shared" si="7"/>
        <v>46</v>
      </c>
      <c r="KN3" s="13">
        <f t="shared" si="7"/>
        <v>28</v>
      </c>
      <c r="KO3" s="13">
        <f t="shared" si="7"/>
        <v>41</v>
      </c>
      <c r="KP3" s="13">
        <f t="shared" si="7"/>
        <v>41</v>
      </c>
      <c r="KQ3" s="13">
        <f t="shared" si="7"/>
        <v>40</v>
      </c>
      <c r="KR3" s="13">
        <f t="shared" si="7"/>
        <v>37</v>
      </c>
      <c r="KS3" s="13">
        <f t="shared" si="7"/>
        <v>72</v>
      </c>
      <c r="KT3" s="13">
        <f t="shared" si="7"/>
        <v>48</v>
      </c>
      <c r="KU3" s="13">
        <f t="shared" si="7"/>
        <v>61</v>
      </c>
      <c r="KV3" s="13">
        <f t="shared" si="7"/>
        <v>60</v>
      </c>
      <c r="KW3" s="13">
        <f t="shared" si="7"/>
        <v>81</v>
      </c>
      <c r="KX3" s="13">
        <f t="shared" si="7"/>
        <v>92</v>
      </c>
      <c r="KY3" s="13">
        <f t="shared" si="7"/>
        <v>110</v>
      </c>
      <c r="KZ3" s="13">
        <f t="shared" si="7"/>
        <v>103</v>
      </c>
      <c r="LA3" s="13">
        <f t="shared" si="7"/>
        <v>143</v>
      </c>
      <c r="LB3" s="13">
        <f t="shared" si="7"/>
        <v>169</v>
      </c>
      <c r="LC3" s="13">
        <f t="shared" si="7"/>
        <v>162</v>
      </c>
      <c r="LD3" s="13">
        <f t="shared" si="7"/>
        <v>80</v>
      </c>
      <c r="LE3" s="13">
        <f t="shared" si="7"/>
        <v>89</v>
      </c>
      <c r="LF3" s="13">
        <f t="shared" si="7"/>
        <v>119</v>
      </c>
      <c r="LG3" s="13">
        <f t="shared" si="7"/>
        <v>199</v>
      </c>
      <c r="LH3" s="13">
        <f t="shared" si="7"/>
        <v>62</v>
      </c>
      <c r="LI3" s="13">
        <f t="shared" si="7"/>
        <v>117</v>
      </c>
      <c r="LJ3" s="13">
        <f t="shared" si="7"/>
        <v>77</v>
      </c>
      <c r="LK3" s="13">
        <f t="shared" si="7"/>
        <v>83</v>
      </c>
      <c r="LL3" s="13">
        <f t="shared" si="7"/>
        <v>91</v>
      </c>
      <c r="LM3" s="13">
        <f t="shared" si="7"/>
        <v>90</v>
      </c>
      <c r="LN3" s="13">
        <f t="shared" si="7"/>
        <v>166</v>
      </c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1"/>
      <c r="NJ3" s="11"/>
      <c r="NK3" s="13"/>
      <c r="NL3" s="13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</row>
    <row r="4" spans="1:397">
      <c r="A4" s="13" t="s">
        <v>33</v>
      </c>
      <c r="B4" s="13"/>
      <c r="C4" s="13"/>
      <c r="D4" s="13"/>
      <c r="E4" s="13"/>
      <c r="F4" s="13"/>
      <c r="G4" s="13"/>
      <c r="H4" s="13"/>
      <c r="I4" s="13"/>
      <c r="J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>
        <v>0</v>
      </c>
      <c r="KO4" s="13">
        <v>0</v>
      </c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>
        <v>236</v>
      </c>
      <c r="NE4" s="13">
        <v>1097</v>
      </c>
      <c r="NF4" s="13"/>
      <c r="NG4" s="13">
        <v>219</v>
      </c>
      <c r="NH4" s="13">
        <v>849</v>
      </c>
      <c r="NI4" s="11">
        <v>2174</v>
      </c>
      <c r="NJ4" s="11"/>
      <c r="NK4" s="13">
        <v>871</v>
      </c>
      <c r="NL4" s="13">
        <v>849</v>
      </c>
      <c r="NM4" s="11">
        <v>296</v>
      </c>
      <c r="NN4" s="11">
        <v>87</v>
      </c>
      <c r="NO4" s="11">
        <v>1280</v>
      </c>
      <c r="NP4" s="11">
        <v>962</v>
      </c>
      <c r="NQ4" s="11">
        <v>640</v>
      </c>
      <c r="NR4" s="11">
        <v>431</v>
      </c>
      <c r="NS4" s="11">
        <v>492</v>
      </c>
      <c r="NT4" s="11">
        <v>186</v>
      </c>
      <c r="NU4" s="11">
        <v>315</v>
      </c>
      <c r="NV4" s="11">
        <v>268</v>
      </c>
      <c r="NW4" s="11">
        <v>157</v>
      </c>
      <c r="NX4" s="11">
        <v>131</v>
      </c>
      <c r="NY4" s="11">
        <v>263</v>
      </c>
      <c r="NZ4" s="11">
        <v>515</v>
      </c>
      <c r="OA4" s="11">
        <v>137</v>
      </c>
      <c r="OB4" s="11">
        <v>87</v>
      </c>
    </row>
    <row r="5" spans="1:397">
      <c r="A5" s="13" t="s">
        <v>72</v>
      </c>
      <c r="B5" s="13"/>
      <c r="C5" s="13"/>
      <c r="D5" s="13"/>
      <c r="E5" s="13"/>
      <c r="F5" s="13"/>
      <c r="G5" s="13"/>
      <c r="H5" s="13"/>
      <c r="I5" s="13"/>
      <c r="J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>
        <v>0</v>
      </c>
      <c r="KH5" s="13">
        <v>0</v>
      </c>
      <c r="KI5" s="13">
        <v>0</v>
      </c>
      <c r="KJ5" s="13">
        <v>0</v>
      </c>
      <c r="KK5" s="13">
        <v>0</v>
      </c>
      <c r="KL5" s="13">
        <v>0</v>
      </c>
      <c r="KM5" s="13">
        <v>0</v>
      </c>
      <c r="KN5" s="13">
        <v>0</v>
      </c>
      <c r="KO5" s="13">
        <v>0</v>
      </c>
      <c r="KP5" s="13">
        <v>0</v>
      </c>
      <c r="KQ5" s="13">
        <v>0</v>
      </c>
      <c r="KR5" s="13">
        <v>0</v>
      </c>
      <c r="KS5" s="13">
        <v>0</v>
      </c>
      <c r="KT5" s="13">
        <v>0</v>
      </c>
      <c r="KU5" s="13">
        <v>0</v>
      </c>
      <c r="KV5" s="13">
        <v>0</v>
      </c>
      <c r="KW5" s="13">
        <v>0</v>
      </c>
      <c r="KX5" s="13">
        <v>0</v>
      </c>
      <c r="KY5" s="13">
        <v>0</v>
      </c>
      <c r="KZ5" s="13">
        <v>1</v>
      </c>
      <c r="LA5" s="13">
        <v>0</v>
      </c>
      <c r="LB5" s="13">
        <v>2</v>
      </c>
      <c r="LC5" s="13">
        <v>0</v>
      </c>
      <c r="LD5" s="13">
        <v>3</v>
      </c>
      <c r="LE5" s="13">
        <v>1</v>
      </c>
      <c r="LF5" s="13">
        <v>2</v>
      </c>
      <c r="LG5" s="13">
        <v>2</v>
      </c>
      <c r="LH5" s="13">
        <v>0</v>
      </c>
      <c r="LI5" s="13">
        <v>1</v>
      </c>
      <c r="LJ5" s="13">
        <v>3</v>
      </c>
      <c r="LK5" s="13">
        <v>4</v>
      </c>
      <c r="LL5" s="13">
        <v>4</v>
      </c>
      <c r="LM5" s="13">
        <v>6</v>
      </c>
      <c r="LN5" s="13">
        <v>7</v>
      </c>
      <c r="LO5" s="13">
        <v>1</v>
      </c>
      <c r="LP5" s="13">
        <v>4</v>
      </c>
      <c r="LQ5" s="13">
        <v>5</v>
      </c>
      <c r="LR5" s="13">
        <v>3</v>
      </c>
      <c r="LS5" s="13">
        <v>5</v>
      </c>
      <c r="LT5" s="13">
        <v>6</v>
      </c>
      <c r="LU5" s="13">
        <v>4</v>
      </c>
      <c r="LV5" s="13">
        <v>7</v>
      </c>
      <c r="LW5" s="13">
        <v>9</v>
      </c>
      <c r="LX5" s="13">
        <v>6</v>
      </c>
      <c r="LY5" s="13">
        <v>7</v>
      </c>
      <c r="LZ5" s="13">
        <v>3</v>
      </c>
      <c r="MA5" s="13">
        <v>8</v>
      </c>
      <c r="MB5" s="13">
        <v>11</v>
      </c>
      <c r="MC5" s="13">
        <v>13</v>
      </c>
      <c r="MD5" s="13">
        <v>14</v>
      </c>
      <c r="ME5" s="13">
        <v>10</v>
      </c>
      <c r="MF5" s="13">
        <v>13</v>
      </c>
      <c r="MG5" s="13">
        <v>7</v>
      </c>
      <c r="MH5" s="13">
        <v>11</v>
      </c>
      <c r="MI5" s="13">
        <v>22</v>
      </c>
      <c r="MJ5" s="13">
        <v>17</v>
      </c>
      <c r="MK5" s="13">
        <v>22</v>
      </c>
      <c r="ML5" s="13">
        <v>27</v>
      </c>
      <c r="MM5" s="13">
        <v>28</v>
      </c>
      <c r="MN5" s="13">
        <v>30</v>
      </c>
      <c r="MO5" s="13">
        <v>31</v>
      </c>
      <c r="MP5" s="13">
        <v>38</v>
      </c>
      <c r="MQ5" s="13">
        <v>31</v>
      </c>
      <c r="MR5" s="13">
        <v>42</v>
      </c>
      <c r="MS5" s="13">
        <v>35</v>
      </c>
      <c r="MT5" s="13">
        <v>47</v>
      </c>
      <c r="MU5" s="13">
        <v>44</v>
      </c>
      <c r="MV5" s="13">
        <v>29</v>
      </c>
      <c r="MW5" s="13">
        <v>52</v>
      </c>
      <c r="MX5" s="13">
        <v>71</v>
      </c>
      <c r="MY5" s="13">
        <v>150</v>
      </c>
      <c r="MZ5" s="13">
        <v>97</v>
      </c>
      <c r="NA5" s="13">
        <v>109</v>
      </c>
      <c r="NB5" s="13">
        <v>118</v>
      </c>
      <c r="NC5" s="13">
        <v>114</v>
      </c>
      <c r="ND5" s="13">
        <v>136</v>
      </c>
      <c r="NE5" s="13">
        <v>98</v>
      </c>
      <c r="NF5" s="13">
        <v>105</v>
      </c>
      <c r="NG5" s="13">
        <v>142</v>
      </c>
      <c r="NH5" s="13">
        <v>143</v>
      </c>
      <c r="NI5" s="11">
        <v>121</v>
      </c>
      <c r="NJ5" s="11">
        <v>254</v>
      </c>
      <c r="NK5" s="13">
        <v>97</v>
      </c>
      <c r="NL5" s="13">
        <v>108</v>
      </c>
      <c r="NM5" s="11">
        <v>97</v>
      </c>
      <c r="NN5" s="11">
        <v>89</v>
      </c>
      <c r="NO5" s="11">
        <v>86</v>
      </c>
      <c r="NP5" s="11">
        <v>73</v>
      </c>
      <c r="NQ5" s="11">
        <v>73</v>
      </c>
      <c r="NR5" s="11">
        <v>65</v>
      </c>
      <c r="NS5" s="11">
        <v>64</v>
      </c>
      <c r="NT5" s="11">
        <v>57</v>
      </c>
      <c r="NU5" s="11">
        <v>45</v>
      </c>
      <c r="NV5" s="11">
        <v>46</v>
      </c>
      <c r="NW5" s="11">
        <v>43</v>
      </c>
      <c r="NX5" s="11">
        <v>38</v>
      </c>
      <c r="NY5" s="11">
        <v>26</v>
      </c>
      <c r="NZ5" s="11">
        <v>26</v>
      </c>
      <c r="OA5" s="11">
        <v>24</v>
      </c>
      <c r="OB5" s="11">
        <v>15</v>
      </c>
      <c r="OC5" s="11">
        <v>16</v>
      </c>
      <c r="OD5" s="11">
        <v>8</v>
      </c>
      <c r="OE5" s="11">
        <v>8</v>
      </c>
      <c r="OF5" s="11">
        <v>3</v>
      </c>
    </row>
    <row r="6" spans="1:397">
      <c r="A6" s="13" t="s">
        <v>34</v>
      </c>
      <c r="B6" s="13">
        <v>0</v>
      </c>
      <c r="C6" s="13">
        <v>1</v>
      </c>
      <c r="D6" s="13">
        <v>5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2</v>
      </c>
      <c r="K6" s="13">
        <v>0</v>
      </c>
      <c r="L6" s="13">
        <v>1</v>
      </c>
      <c r="M6" s="13">
        <v>0</v>
      </c>
      <c r="N6" s="13">
        <v>2</v>
      </c>
      <c r="O6" s="13">
        <v>1</v>
      </c>
      <c r="P6" s="13">
        <v>3</v>
      </c>
      <c r="Q6" s="13">
        <v>1</v>
      </c>
      <c r="R6" s="13">
        <v>1</v>
      </c>
      <c r="S6" s="13">
        <v>0</v>
      </c>
      <c r="T6" s="13">
        <v>0</v>
      </c>
      <c r="U6" s="13">
        <v>0</v>
      </c>
      <c r="V6" s="13">
        <v>1</v>
      </c>
      <c r="W6" s="13">
        <v>2</v>
      </c>
      <c r="X6" s="13">
        <v>0</v>
      </c>
      <c r="Y6" s="13">
        <v>1</v>
      </c>
      <c r="Z6" s="13">
        <v>3</v>
      </c>
      <c r="AA6" s="13">
        <v>1</v>
      </c>
      <c r="AB6" s="13">
        <v>1</v>
      </c>
      <c r="AC6" s="13">
        <v>2</v>
      </c>
      <c r="AD6" s="13">
        <v>0</v>
      </c>
      <c r="AE6" s="13">
        <v>5</v>
      </c>
      <c r="AF6" s="13">
        <v>0</v>
      </c>
      <c r="AG6" s="13">
        <v>0</v>
      </c>
      <c r="AH6" s="13">
        <v>2</v>
      </c>
      <c r="AI6" s="13">
        <v>1</v>
      </c>
      <c r="AJ6" s="13">
        <v>0</v>
      </c>
      <c r="AK6" s="13">
        <v>1</v>
      </c>
      <c r="AL6" s="13">
        <v>0</v>
      </c>
      <c r="AM6" s="13">
        <v>1</v>
      </c>
      <c r="AN6" s="13">
        <v>0</v>
      </c>
      <c r="AO6" s="13">
        <v>0</v>
      </c>
      <c r="AP6" s="13">
        <v>0</v>
      </c>
      <c r="AQ6" s="13">
        <v>1</v>
      </c>
      <c r="AR6" s="13">
        <v>0</v>
      </c>
      <c r="AS6" s="13">
        <v>0</v>
      </c>
      <c r="AT6" s="13">
        <v>2</v>
      </c>
      <c r="AU6" s="13">
        <v>0</v>
      </c>
      <c r="AV6" s="13">
        <v>0</v>
      </c>
      <c r="AW6" s="13">
        <v>0</v>
      </c>
      <c r="AX6" s="13">
        <v>1</v>
      </c>
      <c r="AY6" s="13">
        <v>0</v>
      </c>
      <c r="AZ6" s="13">
        <v>0</v>
      </c>
      <c r="BA6" s="13">
        <v>0</v>
      </c>
      <c r="BB6" s="13">
        <v>0</v>
      </c>
      <c r="BC6" s="13">
        <v>1</v>
      </c>
      <c r="BD6" s="13">
        <v>0</v>
      </c>
      <c r="BE6" s="13">
        <v>0</v>
      </c>
      <c r="BF6" s="13">
        <v>0</v>
      </c>
      <c r="BG6" s="13"/>
      <c r="BH6" s="13"/>
      <c r="BI6" s="13"/>
      <c r="BJ6" s="13"/>
      <c r="BK6" s="13">
        <v>0</v>
      </c>
      <c r="BL6" s="13">
        <v>1</v>
      </c>
      <c r="BM6" s="13">
        <v>0</v>
      </c>
      <c r="BN6" s="13">
        <v>1</v>
      </c>
      <c r="BO6" s="13">
        <v>1</v>
      </c>
      <c r="BP6" s="13">
        <v>0</v>
      </c>
      <c r="BQ6" s="13">
        <v>2</v>
      </c>
      <c r="BR6" s="13">
        <v>1</v>
      </c>
      <c r="BS6" s="13">
        <v>0</v>
      </c>
      <c r="BT6" s="13">
        <v>0</v>
      </c>
      <c r="BU6" s="13">
        <v>2</v>
      </c>
      <c r="BV6" s="13">
        <v>2</v>
      </c>
      <c r="BW6" s="13">
        <v>1</v>
      </c>
      <c r="BX6" s="13">
        <v>2</v>
      </c>
      <c r="BY6" s="13">
        <v>2</v>
      </c>
      <c r="BZ6" s="13">
        <v>0</v>
      </c>
      <c r="CA6" s="13">
        <v>1</v>
      </c>
      <c r="CB6" s="13">
        <v>2</v>
      </c>
      <c r="CC6" s="13">
        <v>1</v>
      </c>
      <c r="CD6" s="13">
        <v>0</v>
      </c>
      <c r="CE6" s="13">
        <v>0</v>
      </c>
      <c r="CF6" s="13">
        <v>4</v>
      </c>
      <c r="CG6" s="13">
        <v>0</v>
      </c>
      <c r="CH6" s="13">
        <v>0</v>
      </c>
      <c r="CI6" s="13">
        <v>3</v>
      </c>
      <c r="CJ6" s="13">
        <v>1</v>
      </c>
      <c r="CK6" s="13">
        <v>1</v>
      </c>
      <c r="CL6" s="13"/>
      <c r="CM6" s="13">
        <v>0</v>
      </c>
      <c r="CN6" s="13">
        <v>0</v>
      </c>
      <c r="CO6" s="13">
        <v>1</v>
      </c>
      <c r="CP6" s="13">
        <v>0</v>
      </c>
      <c r="CQ6" s="13">
        <v>0</v>
      </c>
      <c r="CR6" s="13">
        <v>0</v>
      </c>
      <c r="CS6" s="13">
        <v>1</v>
      </c>
      <c r="CT6" s="13">
        <v>1</v>
      </c>
      <c r="CU6" s="13">
        <v>0</v>
      </c>
      <c r="CV6" s="13">
        <v>0</v>
      </c>
      <c r="CW6" s="13">
        <v>1</v>
      </c>
      <c r="CX6" s="13">
        <v>0</v>
      </c>
      <c r="CY6" s="13">
        <v>0</v>
      </c>
      <c r="CZ6" s="13">
        <v>1</v>
      </c>
      <c r="DA6" s="13">
        <v>4</v>
      </c>
      <c r="DB6" s="13">
        <v>0</v>
      </c>
      <c r="DC6" s="13">
        <v>23</v>
      </c>
      <c r="DD6" s="13">
        <v>3</v>
      </c>
      <c r="DE6" s="13">
        <v>1</v>
      </c>
      <c r="DF6" s="13">
        <v>2</v>
      </c>
      <c r="DG6" s="13">
        <v>1</v>
      </c>
      <c r="DH6" s="13">
        <v>0</v>
      </c>
      <c r="DI6" s="13">
        <v>2</v>
      </c>
      <c r="DJ6" s="13">
        <v>6</v>
      </c>
      <c r="DK6" s="13">
        <v>0</v>
      </c>
      <c r="DL6" s="13">
        <v>0</v>
      </c>
      <c r="DM6" s="13">
        <v>0</v>
      </c>
      <c r="DN6" s="13">
        <v>1</v>
      </c>
      <c r="DO6" s="13">
        <v>1</v>
      </c>
      <c r="DP6" s="13">
        <v>0</v>
      </c>
      <c r="DQ6" s="13">
        <v>2</v>
      </c>
      <c r="DR6" s="13">
        <v>2</v>
      </c>
      <c r="DS6" s="13"/>
      <c r="DT6" s="13"/>
      <c r="DU6" s="13"/>
      <c r="DV6" s="13">
        <v>1</v>
      </c>
      <c r="DW6" s="13">
        <v>1</v>
      </c>
      <c r="DX6" s="13">
        <v>1</v>
      </c>
      <c r="DY6" s="13">
        <v>2</v>
      </c>
      <c r="DZ6" s="13">
        <v>2</v>
      </c>
      <c r="EA6" s="13">
        <v>0</v>
      </c>
      <c r="EB6" s="13">
        <v>1</v>
      </c>
      <c r="EC6" s="13">
        <v>5</v>
      </c>
      <c r="ED6" s="13">
        <v>0</v>
      </c>
      <c r="EE6" s="13">
        <v>0</v>
      </c>
      <c r="EF6" s="13">
        <v>0</v>
      </c>
      <c r="EG6" s="13">
        <v>0</v>
      </c>
      <c r="EH6" s="13">
        <v>0</v>
      </c>
      <c r="EI6" s="13">
        <v>0</v>
      </c>
      <c r="EJ6" s="13">
        <v>3</v>
      </c>
      <c r="EK6" s="13">
        <v>1</v>
      </c>
      <c r="EL6" s="13">
        <v>0</v>
      </c>
      <c r="EM6" s="13">
        <v>3</v>
      </c>
      <c r="EN6" s="13">
        <v>0</v>
      </c>
      <c r="EO6" s="13">
        <v>1</v>
      </c>
      <c r="EP6" s="13">
        <v>0</v>
      </c>
      <c r="EQ6" s="13">
        <v>0</v>
      </c>
      <c r="ER6" s="13">
        <v>1</v>
      </c>
      <c r="ES6" s="13">
        <v>1</v>
      </c>
      <c r="ET6" s="13">
        <v>0</v>
      </c>
      <c r="EU6" s="13">
        <v>0</v>
      </c>
      <c r="EV6" s="13">
        <v>0</v>
      </c>
      <c r="EW6" s="13">
        <v>0</v>
      </c>
      <c r="EX6" s="13">
        <v>1</v>
      </c>
      <c r="EY6" s="13">
        <v>1</v>
      </c>
      <c r="EZ6" s="13">
        <v>1</v>
      </c>
      <c r="FA6" s="13">
        <v>1</v>
      </c>
      <c r="FB6" s="13">
        <v>0</v>
      </c>
      <c r="FC6" s="13">
        <v>0</v>
      </c>
      <c r="FD6" s="13">
        <v>0</v>
      </c>
      <c r="FE6" s="13">
        <v>0</v>
      </c>
      <c r="FF6" s="13">
        <v>1</v>
      </c>
      <c r="FG6" s="13">
        <v>0</v>
      </c>
      <c r="FH6" s="13">
        <v>0</v>
      </c>
      <c r="FI6" s="13">
        <v>0</v>
      </c>
      <c r="FJ6" s="13">
        <v>0</v>
      </c>
      <c r="FK6" s="13">
        <v>0</v>
      </c>
      <c r="FL6" s="13">
        <v>0</v>
      </c>
      <c r="FM6" s="13">
        <v>0</v>
      </c>
      <c r="FN6" s="13">
        <v>0</v>
      </c>
      <c r="FO6" s="13">
        <v>0</v>
      </c>
      <c r="FP6" s="13">
        <v>0</v>
      </c>
      <c r="FQ6" s="13">
        <v>0</v>
      </c>
      <c r="FR6" s="13">
        <v>0</v>
      </c>
      <c r="FS6" s="13">
        <v>0</v>
      </c>
      <c r="FT6" s="13">
        <v>0</v>
      </c>
      <c r="FU6" s="13">
        <v>2</v>
      </c>
      <c r="FV6" s="13">
        <v>1</v>
      </c>
      <c r="FW6" s="13">
        <v>0</v>
      </c>
      <c r="FX6" s="13">
        <v>0</v>
      </c>
      <c r="FY6" s="13">
        <v>1</v>
      </c>
      <c r="FZ6" s="13">
        <v>2</v>
      </c>
      <c r="GA6" s="13">
        <v>1</v>
      </c>
      <c r="GB6" s="13">
        <v>0</v>
      </c>
      <c r="GC6" s="13">
        <v>0</v>
      </c>
      <c r="GD6" s="13">
        <v>0</v>
      </c>
      <c r="GE6" s="13">
        <v>0</v>
      </c>
      <c r="GF6" s="13">
        <v>2</v>
      </c>
      <c r="GG6" s="13">
        <v>1</v>
      </c>
      <c r="GH6" s="13">
        <v>1</v>
      </c>
      <c r="GI6" s="13"/>
      <c r="GJ6" s="13"/>
      <c r="GK6" s="13"/>
      <c r="GL6" s="13">
        <v>2</v>
      </c>
      <c r="GM6" s="13">
        <v>1</v>
      </c>
      <c r="GN6" s="13">
        <v>0</v>
      </c>
      <c r="GO6" s="13">
        <v>5</v>
      </c>
      <c r="GP6" s="13">
        <v>2</v>
      </c>
      <c r="GQ6" s="13">
        <v>0</v>
      </c>
      <c r="GR6" s="13">
        <v>0</v>
      </c>
      <c r="GS6" s="13">
        <v>1</v>
      </c>
      <c r="GT6" s="13">
        <v>3</v>
      </c>
      <c r="GU6" s="13">
        <v>0</v>
      </c>
      <c r="GV6" s="13">
        <v>0</v>
      </c>
      <c r="GW6" s="13">
        <v>1</v>
      </c>
      <c r="GX6" s="13">
        <v>1</v>
      </c>
      <c r="GY6" s="13">
        <v>0</v>
      </c>
      <c r="GZ6" s="13">
        <v>0</v>
      </c>
      <c r="HA6" s="13">
        <v>0</v>
      </c>
      <c r="HB6" s="13">
        <v>2</v>
      </c>
      <c r="HC6" s="13">
        <v>2</v>
      </c>
      <c r="HD6" s="13">
        <v>1</v>
      </c>
      <c r="HE6" s="13">
        <v>3</v>
      </c>
      <c r="HF6" s="13">
        <v>0</v>
      </c>
      <c r="HG6" s="13">
        <v>1</v>
      </c>
      <c r="HH6" s="13">
        <v>1</v>
      </c>
      <c r="HI6" s="13">
        <v>1</v>
      </c>
      <c r="HJ6" s="13">
        <v>1</v>
      </c>
      <c r="HK6" s="13">
        <v>1</v>
      </c>
      <c r="HL6" s="13">
        <v>0</v>
      </c>
      <c r="HM6" s="13">
        <v>0</v>
      </c>
      <c r="HN6" s="13">
        <v>0</v>
      </c>
      <c r="HO6" s="13">
        <v>0</v>
      </c>
      <c r="HP6" s="13">
        <v>0</v>
      </c>
      <c r="HQ6" s="13">
        <v>0</v>
      </c>
      <c r="HR6" s="13">
        <v>3</v>
      </c>
      <c r="HS6" s="13">
        <v>0</v>
      </c>
      <c r="HT6" s="13">
        <v>0</v>
      </c>
      <c r="HU6" s="13">
        <v>2</v>
      </c>
      <c r="HV6" s="13">
        <v>0</v>
      </c>
      <c r="HW6" s="13">
        <v>1</v>
      </c>
      <c r="HX6" s="13">
        <v>2</v>
      </c>
      <c r="HY6" s="13">
        <v>1</v>
      </c>
      <c r="HZ6" s="13">
        <v>0</v>
      </c>
      <c r="IA6" s="13">
        <v>2</v>
      </c>
      <c r="IB6" s="13">
        <v>1</v>
      </c>
      <c r="IC6" s="13">
        <v>4</v>
      </c>
      <c r="ID6" s="13">
        <v>1</v>
      </c>
      <c r="IE6" s="13">
        <v>1</v>
      </c>
      <c r="IF6" s="13">
        <v>3</v>
      </c>
      <c r="IG6" s="13">
        <v>0</v>
      </c>
      <c r="IH6" s="13">
        <v>4</v>
      </c>
      <c r="II6" s="13">
        <v>2</v>
      </c>
      <c r="IJ6" s="13">
        <v>2</v>
      </c>
      <c r="IK6" s="13">
        <v>3</v>
      </c>
      <c r="IL6" s="13">
        <v>4</v>
      </c>
      <c r="IM6" s="13">
        <v>2</v>
      </c>
      <c r="IN6" s="13">
        <v>3</v>
      </c>
      <c r="IO6" s="13">
        <v>3</v>
      </c>
      <c r="IP6" s="13">
        <v>3</v>
      </c>
      <c r="IQ6" s="13">
        <v>1</v>
      </c>
      <c r="IR6" s="13">
        <v>1</v>
      </c>
      <c r="IS6" s="13">
        <v>0</v>
      </c>
      <c r="IT6" s="13">
        <v>0</v>
      </c>
      <c r="IU6" s="13">
        <v>0</v>
      </c>
      <c r="IV6" s="13">
        <v>1</v>
      </c>
      <c r="IW6" s="13">
        <v>0</v>
      </c>
      <c r="IX6" s="13">
        <v>1</v>
      </c>
      <c r="IY6" s="13">
        <v>2</v>
      </c>
      <c r="IZ6" s="13">
        <v>1</v>
      </c>
      <c r="JA6" s="13">
        <v>0</v>
      </c>
      <c r="JB6" s="13">
        <v>0</v>
      </c>
      <c r="JC6" s="13">
        <v>1</v>
      </c>
      <c r="JD6" s="13">
        <v>0</v>
      </c>
      <c r="JE6" s="13">
        <v>0</v>
      </c>
      <c r="JF6" s="13">
        <v>0</v>
      </c>
      <c r="JG6" s="13">
        <v>1</v>
      </c>
      <c r="JH6" s="13">
        <v>0</v>
      </c>
      <c r="JI6" s="13">
        <v>0</v>
      </c>
      <c r="JJ6" s="13">
        <v>1</v>
      </c>
      <c r="JK6" s="13">
        <v>0</v>
      </c>
      <c r="JL6" s="13">
        <v>0</v>
      </c>
      <c r="JM6" s="13">
        <v>3</v>
      </c>
      <c r="JN6" s="13">
        <v>2</v>
      </c>
      <c r="JO6" s="13">
        <v>1</v>
      </c>
      <c r="JP6" s="13">
        <v>1</v>
      </c>
      <c r="JQ6" s="13">
        <v>3</v>
      </c>
      <c r="JR6" s="13">
        <v>1</v>
      </c>
      <c r="JS6" s="13">
        <v>1</v>
      </c>
      <c r="JT6" s="13">
        <v>2</v>
      </c>
      <c r="JU6" s="13">
        <v>2</v>
      </c>
      <c r="JV6" s="13">
        <v>1</v>
      </c>
      <c r="JW6" s="13">
        <v>0</v>
      </c>
      <c r="JX6" s="13">
        <v>1</v>
      </c>
      <c r="JY6" s="13">
        <v>1</v>
      </c>
      <c r="JZ6" s="13">
        <v>0</v>
      </c>
      <c r="KA6" s="13">
        <v>1</v>
      </c>
      <c r="KB6" s="13">
        <v>2</v>
      </c>
      <c r="KC6" s="13">
        <v>3</v>
      </c>
      <c r="KD6" s="13">
        <v>2</v>
      </c>
      <c r="KE6" s="13">
        <v>0</v>
      </c>
      <c r="KF6" s="13">
        <v>0</v>
      </c>
      <c r="KG6" s="13">
        <v>1</v>
      </c>
      <c r="KH6" s="13">
        <v>0</v>
      </c>
      <c r="KI6" s="13">
        <v>2</v>
      </c>
      <c r="KJ6" s="13">
        <v>3</v>
      </c>
      <c r="KK6" s="13">
        <v>3</v>
      </c>
      <c r="KL6" s="13">
        <v>2</v>
      </c>
      <c r="KM6" s="13">
        <v>1</v>
      </c>
      <c r="KN6" s="13">
        <v>5</v>
      </c>
      <c r="KO6" s="13">
        <v>0</v>
      </c>
      <c r="KP6" s="13">
        <v>3</v>
      </c>
      <c r="KQ6" s="13">
        <v>2</v>
      </c>
      <c r="KR6" s="13">
        <v>0</v>
      </c>
      <c r="KS6" s="13">
        <v>3</v>
      </c>
      <c r="KT6" s="13">
        <v>3</v>
      </c>
      <c r="KU6" s="13">
        <v>2</v>
      </c>
      <c r="KV6" s="13">
        <v>2</v>
      </c>
      <c r="KW6" s="13">
        <v>5</v>
      </c>
      <c r="KX6" s="13">
        <v>3</v>
      </c>
      <c r="KY6" s="13">
        <v>4</v>
      </c>
      <c r="KZ6" s="13">
        <v>11</v>
      </c>
      <c r="LA6" s="13">
        <v>3</v>
      </c>
      <c r="LB6" s="13">
        <v>6</v>
      </c>
      <c r="LC6" s="13">
        <v>49</v>
      </c>
      <c r="LD6" s="13">
        <v>8</v>
      </c>
      <c r="LE6" s="13">
        <v>3</v>
      </c>
      <c r="LF6" s="13">
        <v>17</v>
      </c>
      <c r="LG6" s="13">
        <v>12</v>
      </c>
      <c r="LH6" s="13">
        <v>12</v>
      </c>
      <c r="LI6" s="13">
        <v>10</v>
      </c>
      <c r="LJ6" s="13">
        <v>11</v>
      </c>
      <c r="LK6" s="13">
        <v>11</v>
      </c>
      <c r="LL6" s="13">
        <v>12</v>
      </c>
      <c r="LM6" s="13">
        <v>20</v>
      </c>
      <c r="LN6" s="13">
        <v>26</v>
      </c>
      <c r="LO6" s="13">
        <v>44</v>
      </c>
      <c r="LP6" s="13">
        <v>17</v>
      </c>
      <c r="LQ6" s="13">
        <v>28</v>
      </c>
      <c r="LR6" s="13">
        <v>29</v>
      </c>
      <c r="LS6" s="13">
        <v>49</v>
      </c>
      <c r="LT6" s="13">
        <v>58</v>
      </c>
      <c r="LU6" s="13">
        <v>33</v>
      </c>
      <c r="LV6" s="13">
        <v>35</v>
      </c>
      <c r="LW6" s="13">
        <v>47</v>
      </c>
      <c r="LX6" s="13">
        <v>45</v>
      </c>
      <c r="LY6" s="13">
        <v>36</v>
      </c>
      <c r="LZ6" s="13">
        <v>31</v>
      </c>
      <c r="MA6" s="13">
        <v>23</v>
      </c>
      <c r="MB6" s="13">
        <v>21</v>
      </c>
      <c r="MC6" s="13">
        <v>45</v>
      </c>
      <c r="MD6" s="13">
        <v>41</v>
      </c>
      <c r="ME6" s="13">
        <v>39</v>
      </c>
      <c r="MF6" s="13">
        <v>17</v>
      </c>
      <c r="MG6" s="13">
        <v>33</v>
      </c>
      <c r="MH6" s="13">
        <v>33</v>
      </c>
      <c r="MI6" s="13">
        <v>31</v>
      </c>
      <c r="MJ6" s="13">
        <v>36</v>
      </c>
      <c r="MK6" s="13">
        <v>60</v>
      </c>
      <c r="ML6" s="13">
        <v>84</v>
      </c>
      <c r="MM6" s="13">
        <v>99</v>
      </c>
      <c r="MN6" s="13">
        <v>102</v>
      </c>
      <c r="MO6" s="13">
        <v>143</v>
      </c>
      <c r="MP6" s="13">
        <v>143</v>
      </c>
      <c r="MQ6" s="13">
        <v>129</v>
      </c>
      <c r="MR6" s="13">
        <v>141</v>
      </c>
      <c r="MS6" s="13">
        <v>132</v>
      </c>
      <c r="MT6" s="13">
        <v>248</v>
      </c>
      <c r="MU6" s="13">
        <v>452</v>
      </c>
      <c r="MV6" s="13">
        <v>508</v>
      </c>
      <c r="MW6" s="13">
        <v>439</v>
      </c>
      <c r="MX6" s="13">
        <v>530</v>
      </c>
      <c r="MY6" s="13">
        <v>620</v>
      </c>
      <c r="MZ6" s="13">
        <v>882</v>
      </c>
      <c r="NA6" s="13">
        <v>1361</v>
      </c>
      <c r="NB6" s="13">
        <v>1614</v>
      </c>
      <c r="NC6" s="13">
        <v>1277</v>
      </c>
      <c r="ND6" s="13">
        <v>1185</v>
      </c>
      <c r="NE6" s="13">
        <v>1432</v>
      </c>
      <c r="NF6" s="13">
        <v>1563</v>
      </c>
      <c r="NG6" s="13">
        <v>1918</v>
      </c>
      <c r="NH6" s="13">
        <v>2277</v>
      </c>
      <c r="NI6" s="11">
        <v>2450</v>
      </c>
      <c r="NJ6" s="11">
        <v>2807</v>
      </c>
      <c r="NK6" s="13">
        <v>3342</v>
      </c>
      <c r="NL6" s="13">
        <v>3536</v>
      </c>
      <c r="NM6" s="11">
        <v>4008</v>
      </c>
      <c r="NN6" s="11">
        <v>3916</v>
      </c>
      <c r="NO6" s="11">
        <v>4214</v>
      </c>
      <c r="NP6" s="11">
        <v>4833</v>
      </c>
      <c r="NQ6" s="11">
        <v>5328</v>
      </c>
      <c r="NR6" s="11">
        <v>3971</v>
      </c>
      <c r="NS6" s="11">
        <v>5072</v>
      </c>
      <c r="NT6" s="11">
        <v>5173</v>
      </c>
      <c r="NU6" s="11">
        <v>4562</v>
      </c>
      <c r="NV6" s="11">
        <v>5019</v>
      </c>
      <c r="NW6" s="11">
        <v>4812</v>
      </c>
      <c r="NX6" s="11">
        <v>4148</v>
      </c>
      <c r="NY6" s="11">
        <v>3248</v>
      </c>
      <c r="NZ6" s="11">
        <v>2077</v>
      </c>
      <c r="OA6" s="11">
        <v>3806</v>
      </c>
      <c r="OB6" s="11">
        <v>1309</v>
      </c>
      <c r="OC6" s="11">
        <v>1118</v>
      </c>
      <c r="OD6" s="11">
        <v>680</v>
      </c>
      <c r="OE6" s="11">
        <v>257</v>
      </c>
      <c r="OG6" s="11">
        <v>27</v>
      </c>
    </row>
    <row r="7" spans="1:397">
      <c r="A7" s="13" t="s">
        <v>42</v>
      </c>
      <c r="B7" s="13">
        <v>46</v>
      </c>
      <c r="C7" s="13">
        <v>48</v>
      </c>
      <c r="D7" s="13">
        <v>55</v>
      </c>
      <c r="E7" s="13">
        <v>48</v>
      </c>
      <c r="F7" s="13">
        <v>61</v>
      </c>
      <c r="G7" s="13">
        <v>81</v>
      </c>
      <c r="H7" s="13">
        <v>65</v>
      </c>
      <c r="I7" s="13">
        <v>71</v>
      </c>
      <c r="J7" s="13">
        <v>92</v>
      </c>
      <c r="K7" s="13">
        <v>102</v>
      </c>
      <c r="L7" s="13">
        <v>75</v>
      </c>
      <c r="M7" s="13">
        <v>72</v>
      </c>
      <c r="N7" s="13">
        <v>70</v>
      </c>
      <c r="O7" s="13">
        <v>81</v>
      </c>
      <c r="P7" s="13">
        <v>127</v>
      </c>
      <c r="Q7" s="13">
        <v>135</v>
      </c>
      <c r="R7" s="13">
        <v>91</v>
      </c>
      <c r="S7" s="13">
        <v>62</v>
      </c>
      <c r="T7" s="13">
        <v>96</v>
      </c>
      <c r="U7" s="13">
        <v>135</v>
      </c>
      <c r="V7" s="13">
        <v>143</v>
      </c>
      <c r="W7" s="13">
        <v>70</v>
      </c>
      <c r="X7" s="13">
        <v>96</v>
      </c>
      <c r="Y7" s="13">
        <v>98</v>
      </c>
      <c r="Z7" s="13">
        <v>46</v>
      </c>
      <c r="AA7" s="13">
        <v>75</v>
      </c>
      <c r="AB7" s="13">
        <v>30</v>
      </c>
      <c r="AC7" s="13">
        <v>31</v>
      </c>
      <c r="AD7" s="13">
        <v>27</v>
      </c>
      <c r="AE7" s="13">
        <v>19</v>
      </c>
      <c r="AF7" s="13">
        <v>17</v>
      </c>
      <c r="AG7" s="13">
        <v>32</v>
      </c>
      <c r="AH7" s="13">
        <v>13</v>
      </c>
      <c r="AI7" s="13">
        <v>17</v>
      </c>
      <c r="AJ7" s="13">
        <v>18</v>
      </c>
      <c r="AK7" s="13">
        <v>28</v>
      </c>
      <c r="AL7" s="13">
        <v>36</v>
      </c>
      <c r="AM7" s="13">
        <v>28</v>
      </c>
      <c r="AN7" s="13">
        <v>31</v>
      </c>
      <c r="AO7" s="13">
        <v>18</v>
      </c>
      <c r="AP7" s="13">
        <v>16</v>
      </c>
      <c r="AQ7" s="13">
        <v>19</v>
      </c>
      <c r="AR7" s="13">
        <v>17</v>
      </c>
      <c r="AS7" s="13">
        <v>21</v>
      </c>
      <c r="AT7" s="13">
        <v>21</v>
      </c>
      <c r="AU7" s="13">
        <v>12</v>
      </c>
      <c r="AV7" s="13">
        <v>17</v>
      </c>
      <c r="AW7" s="13">
        <v>12</v>
      </c>
      <c r="AX7" s="13">
        <v>9</v>
      </c>
      <c r="AY7" s="13">
        <v>17</v>
      </c>
      <c r="AZ7" s="13">
        <v>13</v>
      </c>
      <c r="BA7" s="13">
        <v>16</v>
      </c>
      <c r="BB7" s="13">
        <v>18</v>
      </c>
      <c r="BC7" s="13">
        <v>16</v>
      </c>
      <c r="BD7" s="13">
        <v>16</v>
      </c>
      <c r="BE7" s="13">
        <v>12</v>
      </c>
      <c r="BF7" s="13">
        <v>9</v>
      </c>
      <c r="BG7" s="13">
        <v>22</v>
      </c>
      <c r="BH7" s="13">
        <v>19</v>
      </c>
      <c r="BI7" s="13">
        <v>9</v>
      </c>
      <c r="BJ7" s="13">
        <v>14</v>
      </c>
      <c r="BK7" s="13">
        <v>21</v>
      </c>
      <c r="BL7" s="13">
        <v>14</v>
      </c>
      <c r="BM7" s="13">
        <v>9</v>
      </c>
      <c r="BN7" s="13">
        <v>21</v>
      </c>
      <c r="BO7" s="13">
        <v>9</v>
      </c>
      <c r="BP7" s="13">
        <v>18</v>
      </c>
      <c r="BQ7" s="13">
        <v>9</v>
      </c>
      <c r="BR7" s="13">
        <v>11</v>
      </c>
      <c r="BS7" s="13">
        <v>12</v>
      </c>
      <c r="BT7" s="13">
        <v>8</v>
      </c>
      <c r="BU7" s="13">
        <v>11</v>
      </c>
      <c r="BV7" s="13">
        <v>11</v>
      </c>
      <c r="BW7" s="13">
        <v>13</v>
      </c>
      <c r="BX7" s="13">
        <v>13</v>
      </c>
      <c r="BY7" s="13">
        <v>12</v>
      </c>
      <c r="BZ7" s="13">
        <v>15</v>
      </c>
      <c r="CA7" s="13">
        <v>12</v>
      </c>
      <c r="CB7" s="13">
        <v>18</v>
      </c>
      <c r="CC7" s="13">
        <v>18</v>
      </c>
      <c r="CD7" s="13">
        <v>12</v>
      </c>
      <c r="CE7" s="13">
        <v>21</v>
      </c>
      <c r="CF7" s="13">
        <v>16</v>
      </c>
      <c r="CG7" s="13">
        <v>24</v>
      </c>
      <c r="CH7" s="13">
        <v>8</v>
      </c>
      <c r="CI7" s="13">
        <v>20</v>
      </c>
      <c r="CJ7" s="13">
        <v>22</v>
      </c>
      <c r="CK7" s="13">
        <v>15</v>
      </c>
      <c r="CL7" s="13">
        <v>12</v>
      </c>
      <c r="CM7" s="13">
        <v>9</v>
      </c>
      <c r="CN7" s="13">
        <v>19</v>
      </c>
      <c r="CO7" s="13">
        <v>20</v>
      </c>
      <c r="CP7" s="13">
        <v>22</v>
      </c>
      <c r="CQ7" s="13">
        <v>37</v>
      </c>
      <c r="CR7" s="13">
        <v>36</v>
      </c>
      <c r="CS7" s="13">
        <v>19</v>
      </c>
      <c r="CT7" s="13">
        <v>16</v>
      </c>
      <c r="CU7" s="13">
        <v>24</v>
      </c>
      <c r="CV7" s="13">
        <v>27</v>
      </c>
      <c r="CW7" s="13">
        <v>24</v>
      </c>
      <c r="CX7" s="13">
        <v>21</v>
      </c>
      <c r="CY7" s="13">
        <v>20</v>
      </c>
      <c r="CZ7" s="13">
        <v>19</v>
      </c>
      <c r="DA7" s="13">
        <v>37</v>
      </c>
      <c r="DB7" s="13">
        <v>33</v>
      </c>
      <c r="DC7" s="13">
        <v>17</v>
      </c>
      <c r="DD7" s="13">
        <v>20</v>
      </c>
      <c r="DE7" s="13">
        <v>16</v>
      </c>
      <c r="DF7" s="13">
        <v>21</v>
      </c>
      <c r="DG7" s="13">
        <v>20</v>
      </c>
      <c r="DH7" s="13">
        <v>20</v>
      </c>
      <c r="DI7" s="13">
        <v>17</v>
      </c>
      <c r="DJ7" s="13">
        <v>24</v>
      </c>
      <c r="DK7" s="13">
        <v>7</v>
      </c>
      <c r="DL7" s="13">
        <v>8</v>
      </c>
      <c r="DM7" s="13">
        <v>17</v>
      </c>
      <c r="DN7" s="13">
        <v>20</v>
      </c>
      <c r="DO7" s="13">
        <v>15</v>
      </c>
      <c r="DP7" s="13">
        <v>11</v>
      </c>
      <c r="DQ7" s="13">
        <v>15</v>
      </c>
      <c r="DR7" s="13">
        <v>16</v>
      </c>
      <c r="DS7" s="13">
        <v>22</v>
      </c>
      <c r="DT7" s="13">
        <v>10</v>
      </c>
      <c r="DU7" s="13">
        <v>16</v>
      </c>
      <c r="DV7" s="13">
        <v>20</v>
      </c>
      <c r="DW7" s="13">
        <v>7</v>
      </c>
      <c r="DX7" s="13">
        <v>11</v>
      </c>
      <c r="DY7" s="13">
        <v>12</v>
      </c>
      <c r="DZ7" s="13">
        <v>7</v>
      </c>
      <c r="EA7" s="13">
        <v>15</v>
      </c>
      <c r="EB7" s="13">
        <v>9</v>
      </c>
      <c r="EC7" s="13">
        <v>9</v>
      </c>
      <c r="ED7" s="13">
        <v>15</v>
      </c>
      <c r="EE7" s="13">
        <v>15</v>
      </c>
      <c r="EF7" s="13">
        <v>16</v>
      </c>
      <c r="EG7" s="13">
        <v>15</v>
      </c>
      <c r="EH7" s="13">
        <v>7</v>
      </c>
      <c r="EI7" s="13">
        <v>7</v>
      </c>
      <c r="EJ7" s="13">
        <v>10</v>
      </c>
      <c r="EK7" s="13">
        <v>10</v>
      </c>
      <c r="EL7" s="13">
        <v>7</v>
      </c>
      <c r="EM7" s="13">
        <v>16</v>
      </c>
      <c r="EN7" s="13">
        <v>12</v>
      </c>
      <c r="EO7" s="13">
        <v>13</v>
      </c>
      <c r="EP7" s="13">
        <v>12</v>
      </c>
      <c r="EQ7" s="13">
        <v>5</v>
      </c>
      <c r="ER7" s="13">
        <v>14</v>
      </c>
      <c r="ES7" s="13">
        <v>9</v>
      </c>
      <c r="ET7" s="13">
        <v>8</v>
      </c>
      <c r="EU7" s="13">
        <v>8</v>
      </c>
      <c r="EV7" s="13">
        <v>13</v>
      </c>
      <c r="EW7" s="13">
        <v>7</v>
      </c>
      <c r="EX7" s="13">
        <v>13</v>
      </c>
      <c r="EY7" s="13">
        <v>8</v>
      </c>
      <c r="EZ7" s="13">
        <v>8</v>
      </c>
      <c r="FA7" s="13">
        <v>11</v>
      </c>
      <c r="FB7" s="13">
        <v>11</v>
      </c>
      <c r="FC7" s="13">
        <v>11</v>
      </c>
      <c r="FD7" s="13">
        <v>16</v>
      </c>
      <c r="FE7" s="13">
        <v>13</v>
      </c>
      <c r="FF7" s="13">
        <v>9</v>
      </c>
      <c r="FG7" s="13">
        <v>19</v>
      </c>
      <c r="FH7" s="13">
        <v>11</v>
      </c>
      <c r="FI7" s="13">
        <v>12</v>
      </c>
      <c r="FJ7" s="13">
        <v>15</v>
      </c>
      <c r="FK7" s="13">
        <v>18</v>
      </c>
      <c r="FL7" s="13">
        <v>18</v>
      </c>
      <c r="FM7" s="13">
        <v>21</v>
      </c>
      <c r="FN7" s="13">
        <v>12</v>
      </c>
      <c r="FO7" s="13">
        <v>17</v>
      </c>
      <c r="FP7" s="13">
        <v>26</v>
      </c>
      <c r="FQ7" s="13">
        <v>31</v>
      </c>
      <c r="FR7" s="13">
        <v>24</v>
      </c>
      <c r="FS7" s="13">
        <v>27</v>
      </c>
      <c r="FT7" s="13">
        <v>35</v>
      </c>
      <c r="FU7" s="13">
        <v>45</v>
      </c>
      <c r="FV7" s="13">
        <v>31</v>
      </c>
      <c r="FW7" s="13">
        <v>54</v>
      </c>
      <c r="FX7" s="13">
        <v>36</v>
      </c>
      <c r="FY7" s="13">
        <v>30</v>
      </c>
      <c r="FZ7" s="13">
        <v>44</v>
      </c>
      <c r="GA7" s="13">
        <v>59</v>
      </c>
      <c r="GB7" s="13">
        <v>47</v>
      </c>
      <c r="GC7" s="13">
        <v>60</v>
      </c>
      <c r="GD7" s="13">
        <v>43</v>
      </c>
      <c r="GE7" s="13">
        <v>39</v>
      </c>
      <c r="GF7" s="13">
        <v>28</v>
      </c>
      <c r="GG7" s="13">
        <v>56</v>
      </c>
      <c r="GH7" s="13">
        <v>57</v>
      </c>
      <c r="GI7" s="13">
        <v>64</v>
      </c>
      <c r="GJ7" s="13">
        <v>56</v>
      </c>
      <c r="GK7" s="13">
        <v>58</v>
      </c>
      <c r="GL7" s="13">
        <v>52</v>
      </c>
      <c r="GM7" s="13">
        <v>64</v>
      </c>
      <c r="GN7" s="13">
        <v>45</v>
      </c>
      <c r="GO7" s="13">
        <v>35</v>
      </c>
      <c r="GP7" s="13">
        <v>31</v>
      </c>
      <c r="GQ7" s="13">
        <v>10</v>
      </c>
      <c r="GR7" s="13">
        <v>17</v>
      </c>
      <c r="GS7" s="13">
        <v>17</v>
      </c>
      <c r="GT7" s="13">
        <v>10</v>
      </c>
      <c r="GU7" s="13">
        <v>14</v>
      </c>
      <c r="GV7" s="13">
        <v>15</v>
      </c>
      <c r="GW7" s="13">
        <v>17</v>
      </c>
      <c r="GX7" s="13">
        <v>13</v>
      </c>
      <c r="GY7" s="13">
        <v>10</v>
      </c>
      <c r="GZ7" s="13">
        <v>16</v>
      </c>
      <c r="HA7" s="13">
        <v>10</v>
      </c>
      <c r="HB7" s="13">
        <v>19</v>
      </c>
      <c r="HC7" s="13">
        <v>16</v>
      </c>
      <c r="HD7" s="13">
        <v>18</v>
      </c>
      <c r="HE7" s="13">
        <v>15</v>
      </c>
      <c r="HF7" s="13">
        <v>23</v>
      </c>
      <c r="HG7" s="13">
        <v>18</v>
      </c>
      <c r="HH7" s="13">
        <v>24</v>
      </c>
      <c r="HI7" s="13">
        <v>17</v>
      </c>
      <c r="HJ7" s="13">
        <v>21</v>
      </c>
      <c r="HK7" s="13">
        <v>18</v>
      </c>
      <c r="HL7" s="13">
        <v>26</v>
      </c>
      <c r="HM7" s="13">
        <v>19</v>
      </c>
      <c r="HN7" s="13">
        <v>26</v>
      </c>
      <c r="HO7" s="13">
        <v>14</v>
      </c>
      <c r="HP7" s="13">
        <v>11</v>
      </c>
      <c r="HQ7" s="13">
        <v>14</v>
      </c>
      <c r="HR7" s="13">
        <v>19</v>
      </c>
      <c r="HS7" s="13">
        <v>42</v>
      </c>
      <c r="HT7" s="13">
        <v>20</v>
      </c>
      <c r="HU7" s="13">
        <v>10</v>
      </c>
      <c r="HV7" s="13">
        <v>2</v>
      </c>
      <c r="HW7" s="13">
        <v>7</v>
      </c>
      <c r="HX7" s="13">
        <v>10</v>
      </c>
      <c r="HY7" s="13">
        <v>12</v>
      </c>
      <c r="HZ7" s="13">
        <v>8</v>
      </c>
      <c r="IA7" s="13">
        <v>10</v>
      </c>
      <c r="IB7" s="13">
        <v>9</v>
      </c>
      <c r="IC7" s="13">
        <v>9</v>
      </c>
      <c r="ID7" s="13">
        <v>7</v>
      </c>
      <c r="IE7" s="13">
        <v>5</v>
      </c>
      <c r="IF7" s="13">
        <v>6</v>
      </c>
      <c r="IG7" s="13">
        <v>5</v>
      </c>
      <c r="IH7" s="13">
        <v>3</v>
      </c>
      <c r="II7" s="13">
        <v>12</v>
      </c>
      <c r="IJ7" s="13">
        <v>0</v>
      </c>
      <c r="IK7" s="13">
        <v>3</v>
      </c>
      <c r="IL7" s="13">
        <v>12</v>
      </c>
      <c r="IM7" s="13">
        <v>4</v>
      </c>
      <c r="IN7" s="13">
        <v>15</v>
      </c>
      <c r="IO7" s="13">
        <v>2</v>
      </c>
      <c r="IP7" s="13">
        <v>7</v>
      </c>
      <c r="IQ7" s="13">
        <v>1</v>
      </c>
      <c r="IR7" s="13">
        <v>2</v>
      </c>
      <c r="IS7" s="13">
        <v>2</v>
      </c>
      <c r="IT7" s="13">
        <v>4</v>
      </c>
      <c r="IU7" s="13">
        <v>4</v>
      </c>
      <c r="IV7" s="13">
        <v>6</v>
      </c>
      <c r="IW7" s="13">
        <v>10</v>
      </c>
      <c r="IX7" s="13">
        <v>9</v>
      </c>
      <c r="IY7" s="13">
        <v>3</v>
      </c>
      <c r="IZ7" s="13">
        <v>2</v>
      </c>
      <c r="JA7" s="13">
        <v>8</v>
      </c>
      <c r="JB7" s="13">
        <v>5</v>
      </c>
      <c r="JC7" s="13">
        <v>1</v>
      </c>
      <c r="JD7" s="13">
        <v>8</v>
      </c>
      <c r="JE7" s="13">
        <v>3</v>
      </c>
      <c r="JF7" s="13">
        <v>2</v>
      </c>
      <c r="JG7" s="13">
        <v>11</v>
      </c>
      <c r="JH7" s="13">
        <v>3</v>
      </c>
      <c r="JI7" s="13">
        <v>8</v>
      </c>
      <c r="JJ7" s="13">
        <v>3</v>
      </c>
      <c r="JK7" s="13">
        <v>9</v>
      </c>
      <c r="JL7" s="13">
        <v>7</v>
      </c>
      <c r="JM7" s="13">
        <v>3</v>
      </c>
      <c r="JN7" s="13">
        <v>3</v>
      </c>
      <c r="JO7" s="13">
        <v>6</v>
      </c>
      <c r="JP7" s="13">
        <v>5</v>
      </c>
      <c r="JQ7" s="13">
        <v>3</v>
      </c>
      <c r="JR7" s="13">
        <v>3</v>
      </c>
      <c r="JS7" s="13">
        <v>11</v>
      </c>
      <c r="JT7" s="13">
        <v>8</v>
      </c>
      <c r="JU7" s="13">
        <v>10</v>
      </c>
      <c r="JV7" s="13">
        <v>14</v>
      </c>
      <c r="JW7" s="13">
        <v>6</v>
      </c>
      <c r="JX7" s="13">
        <v>18</v>
      </c>
      <c r="JY7" s="13">
        <v>27</v>
      </c>
      <c r="JZ7" s="13">
        <v>24</v>
      </c>
      <c r="KA7" s="13">
        <v>74</v>
      </c>
      <c r="KB7" s="13">
        <v>53</v>
      </c>
      <c r="KC7" s="13">
        <v>36</v>
      </c>
      <c r="KD7" s="13">
        <v>46</v>
      </c>
      <c r="KE7" s="13">
        <v>58</v>
      </c>
      <c r="KF7" s="13">
        <v>87</v>
      </c>
      <c r="KG7" s="13">
        <v>53</v>
      </c>
      <c r="KH7" s="13">
        <v>28</v>
      </c>
      <c r="KI7" s="13">
        <v>43</v>
      </c>
      <c r="KJ7" s="13">
        <v>32</v>
      </c>
      <c r="KK7" s="13">
        <v>32</v>
      </c>
      <c r="KL7" s="13">
        <v>23</v>
      </c>
      <c r="KM7" s="13">
        <v>81</v>
      </c>
      <c r="KN7" s="13">
        <v>80</v>
      </c>
      <c r="KO7" s="13">
        <v>48</v>
      </c>
      <c r="KP7" s="13">
        <v>89</v>
      </c>
      <c r="KQ7" s="13">
        <v>50</v>
      </c>
      <c r="KR7" s="13">
        <v>56</v>
      </c>
      <c r="KS7" s="13">
        <v>28</v>
      </c>
      <c r="KT7" s="13">
        <v>39</v>
      </c>
      <c r="KU7" s="13">
        <v>22</v>
      </c>
      <c r="KV7" s="13">
        <v>33</v>
      </c>
      <c r="KW7" s="13">
        <v>50</v>
      </c>
      <c r="KX7" s="13">
        <v>52</v>
      </c>
      <c r="KY7" s="13">
        <v>76</v>
      </c>
      <c r="KZ7" s="13">
        <v>78</v>
      </c>
      <c r="LA7" s="13">
        <v>75</v>
      </c>
      <c r="LB7" s="13">
        <v>88</v>
      </c>
      <c r="LC7" s="13">
        <v>50</v>
      </c>
      <c r="LD7" s="13">
        <v>70</v>
      </c>
      <c r="LE7" s="13">
        <v>85</v>
      </c>
      <c r="LF7" s="13">
        <v>91</v>
      </c>
      <c r="LG7" s="13">
        <v>112</v>
      </c>
      <c r="LH7" s="13">
        <v>89</v>
      </c>
      <c r="LI7" s="13">
        <v>114</v>
      </c>
      <c r="LJ7" s="13">
        <v>213</v>
      </c>
      <c r="LK7" s="13">
        <v>180</v>
      </c>
      <c r="LL7" s="13">
        <v>163</v>
      </c>
      <c r="LM7" s="13">
        <v>170</v>
      </c>
      <c r="LN7" s="13">
        <v>186</v>
      </c>
      <c r="LO7" s="13">
        <v>282</v>
      </c>
      <c r="LP7" s="13">
        <v>322</v>
      </c>
      <c r="LQ7" s="13">
        <v>477</v>
      </c>
      <c r="LR7" s="13">
        <v>383</v>
      </c>
      <c r="LS7" s="13">
        <v>537</v>
      </c>
      <c r="LT7" s="13">
        <v>401</v>
      </c>
      <c r="LU7" s="13">
        <v>491</v>
      </c>
      <c r="LV7" s="13">
        <v>456</v>
      </c>
      <c r="LW7" s="13">
        <v>459</v>
      </c>
      <c r="LX7" s="13">
        <v>504</v>
      </c>
      <c r="LY7" s="13">
        <v>590</v>
      </c>
      <c r="LZ7" s="13">
        <v>730</v>
      </c>
      <c r="MA7" s="13">
        <v>819</v>
      </c>
      <c r="MB7" s="13">
        <v>922</v>
      </c>
      <c r="MC7" s="13">
        <v>930</v>
      </c>
      <c r="MD7" s="13">
        <v>838</v>
      </c>
      <c r="ME7" s="13">
        <v>1370</v>
      </c>
      <c r="MF7" s="13">
        <v>1430</v>
      </c>
      <c r="MG7" s="13">
        <v>1318</v>
      </c>
      <c r="MH7" s="13">
        <v>1318</v>
      </c>
      <c r="MI7" s="13">
        <v>1578</v>
      </c>
      <c r="MJ7" s="13">
        <v>1297</v>
      </c>
      <c r="MK7" s="13">
        <v>1535</v>
      </c>
      <c r="ML7" s="13">
        <v>1661</v>
      </c>
      <c r="MM7" s="13">
        <v>1678</v>
      </c>
      <c r="MN7" s="13">
        <v>1681</v>
      </c>
      <c r="MO7" s="13">
        <v>2189</v>
      </c>
      <c r="MP7" s="13">
        <v>2652</v>
      </c>
      <c r="MQ7" s="13">
        <v>2742</v>
      </c>
      <c r="MR7" s="13">
        <v>2837</v>
      </c>
      <c r="MS7" s="13">
        <v>2623</v>
      </c>
      <c r="MT7" s="13">
        <v>2885</v>
      </c>
      <c r="MU7" s="13">
        <v>3622</v>
      </c>
      <c r="MV7" s="13">
        <v>2750</v>
      </c>
      <c r="MW7" s="13">
        <v>2422</v>
      </c>
      <c r="MX7" s="13">
        <v>2589</v>
      </c>
      <c r="MY7" s="13">
        <v>1846</v>
      </c>
      <c r="MZ7" s="13">
        <v>2230</v>
      </c>
      <c r="NA7" s="13">
        <v>2393</v>
      </c>
      <c r="NB7" s="13">
        <v>2109</v>
      </c>
      <c r="NC7" s="13">
        <v>1779</v>
      </c>
      <c r="ND7" s="13">
        <v>1824</v>
      </c>
      <c r="NE7" s="13">
        <v>1701</v>
      </c>
      <c r="NF7" s="13">
        <v>1425</v>
      </c>
      <c r="NG7" s="13">
        <v>1323</v>
      </c>
      <c r="NH7" s="13">
        <v>1373</v>
      </c>
      <c r="NI7" s="13">
        <v>1081</v>
      </c>
      <c r="NJ7" s="11">
        <v>1171</v>
      </c>
      <c r="NK7" s="13">
        <v>744</v>
      </c>
      <c r="NL7" s="13">
        <v>716</v>
      </c>
      <c r="NM7" s="11">
        <v>632</v>
      </c>
      <c r="NN7" s="11">
        <v>600</v>
      </c>
      <c r="NO7" s="11">
        <v>510</v>
      </c>
      <c r="NP7" s="11">
        <v>387</v>
      </c>
      <c r="NQ7" s="11">
        <v>261</v>
      </c>
      <c r="NR7" s="11">
        <v>262</v>
      </c>
      <c r="NS7" s="11">
        <v>157</v>
      </c>
      <c r="NT7" s="11">
        <v>147</v>
      </c>
      <c r="NU7" s="11">
        <v>85</v>
      </c>
      <c r="NV7" s="11">
        <v>72</v>
      </c>
      <c r="NW7" s="11">
        <v>47</v>
      </c>
      <c r="NX7" s="11">
        <v>21</v>
      </c>
      <c r="NY7" s="11">
        <v>43</v>
      </c>
      <c r="NZ7" s="11">
        <v>9</v>
      </c>
      <c r="OA7" s="11">
        <v>2</v>
      </c>
      <c r="OB7" s="11">
        <v>11</v>
      </c>
      <c r="OC7" s="11">
        <v>3</v>
      </c>
      <c r="OD7" s="11">
        <v>6</v>
      </c>
    </row>
    <row r="8" spans="1:397">
      <c r="A8" s="13" t="s">
        <v>35</v>
      </c>
      <c r="B8" s="13">
        <v>406</v>
      </c>
      <c r="C8" s="13">
        <v>426</v>
      </c>
      <c r="D8" s="13">
        <v>1212</v>
      </c>
      <c r="E8" s="13">
        <v>828</v>
      </c>
      <c r="F8" s="13">
        <v>1615</v>
      </c>
      <c r="G8" s="13">
        <v>1021</v>
      </c>
      <c r="H8" s="13">
        <v>2045</v>
      </c>
      <c r="I8" s="13">
        <v>3022</v>
      </c>
      <c r="J8" s="13">
        <v>2842</v>
      </c>
      <c r="K8" s="13">
        <v>2960</v>
      </c>
      <c r="L8" s="13">
        <v>6787</v>
      </c>
      <c r="M8" s="13">
        <v>3372</v>
      </c>
      <c r="N8" s="13">
        <v>2596</v>
      </c>
      <c r="O8" s="13">
        <v>1767</v>
      </c>
      <c r="P8" s="13">
        <v>1502</v>
      </c>
      <c r="Q8" s="13">
        <v>2816</v>
      </c>
      <c r="R8" s="13">
        <v>1675</v>
      </c>
      <c r="S8" s="13">
        <v>1630</v>
      </c>
      <c r="T8" s="13">
        <v>1254</v>
      </c>
      <c r="U8" s="13">
        <v>1469</v>
      </c>
      <c r="V8" s="13">
        <v>1374</v>
      </c>
      <c r="W8" s="13">
        <v>1448</v>
      </c>
      <c r="X8" s="13">
        <v>1735</v>
      </c>
      <c r="Y8" s="13">
        <v>1607</v>
      </c>
      <c r="Z8" s="13">
        <v>1351</v>
      </c>
      <c r="AA8" s="13">
        <v>1157</v>
      </c>
      <c r="AB8" s="13">
        <v>1722</v>
      </c>
      <c r="AC8" s="13">
        <v>1701</v>
      </c>
      <c r="AD8" s="13">
        <v>3103</v>
      </c>
      <c r="AE8" s="13">
        <v>1246</v>
      </c>
      <c r="AF8" s="13">
        <v>2102</v>
      </c>
      <c r="AG8" s="13">
        <v>1286</v>
      </c>
      <c r="AH8" s="13">
        <v>1519</v>
      </c>
      <c r="AI8" s="13">
        <v>1295</v>
      </c>
      <c r="AJ8" s="13">
        <v>1053</v>
      </c>
      <c r="AK8" s="13">
        <v>1488</v>
      </c>
      <c r="AL8" s="13">
        <v>895</v>
      </c>
      <c r="AM8" s="13">
        <v>617</v>
      </c>
      <c r="AN8" s="13">
        <v>567</v>
      </c>
      <c r="AO8" s="13">
        <v>405</v>
      </c>
      <c r="AP8" s="13">
        <v>584</v>
      </c>
      <c r="AQ8" s="13">
        <v>617</v>
      </c>
      <c r="AR8" s="13">
        <v>1094</v>
      </c>
      <c r="AS8" s="13">
        <v>699</v>
      </c>
      <c r="AT8" s="13">
        <v>784</v>
      </c>
      <c r="AU8" s="13">
        <v>312</v>
      </c>
      <c r="AV8" s="13">
        <v>452</v>
      </c>
      <c r="AW8" s="13">
        <v>960</v>
      </c>
      <c r="AX8" s="13">
        <v>413</v>
      </c>
      <c r="AY8" s="13">
        <v>1009</v>
      </c>
      <c r="AZ8" s="13">
        <v>205</v>
      </c>
      <c r="BA8" s="13">
        <v>399</v>
      </c>
      <c r="BB8" s="13">
        <v>547</v>
      </c>
      <c r="BC8" s="13">
        <v>728</v>
      </c>
      <c r="BD8" s="13">
        <v>571</v>
      </c>
      <c r="BE8" s="13">
        <v>627</v>
      </c>
      <c r="BF8" s="13">
        <v>879</v>
      </c>
      <c r="BG8" s="13">
        <v>669</v>
      </c>
      <c r="BH8" s="13">
        <v>751</v>
      </c>
      <c r="BI8" s="13">
        <v>580</v>
      </c>
      <c r="BJ8" s="13">
        <v>459</v>
      </c>
      <c r="BK8" s="13">
        <v>650</v>
      </c>
      <c r="BL8" s="13">
        <v>670</v>
      </c>
      <c r="BM8" s="13">
        <v>494</v>
      </c>
      <c r="BN8" s="13">
        <v>358</v>
      </c>
      <c r="BO8" s="13">
        <v>728</v>
      </c>
      <c r="BP8" s="13">
        <v>1134</v>
      </c>
      <c r="BQ8" s="13">
        <v>346</v>
      </c>
      <c r="BR8" s="13">
        <v>434</v>
      </c>
      <c r="BS8" s="13">
        <v>619</v>
      </c>
      <c r="BT8" s="13">
        <v>218</v>
      </c>
      <c r="BU8" s="13">
        <v>382</v>
      </c>
      <c r="BV8" s="13">
        <v>163</v>
      </c>
      <c r="BW8" s="13">
        <v>301</v>
      </c>
      <c r="BX8" s="13">
        <v>372</v>
      </c>
      <c r="BY8" s="13">
        <v>717</v>
      </c>
      <c r="BZ8" s="13">
        <v>1652</v>
      </c>
      <c r="CA8" s="13">
        <v>429</v>
      </c>
      <c r="CB8" s="13">
        <v>351</v>
      </c>
      <c r="CC8" s="13">
        <v>1350</v>
      </c>
      <c r="CD8" s="13">
        <v>305</v>
      </c>
      <c r="CE8" s="13">
        <v>1628</v>
      </c>
      <c r="CF8" s="13">
        <v>2121</v>
      </c>
      <c r="CG8" s="13">
        <v>893</v>
      </c>
      <c r="CH8" s="13">
        <v>930</v>
      </c>
      <c r="CI8" s="13">
        <v>925</v>
      </c>
      <c r="CJ8" s="13">
        <v>536</v>
      </c>
      <c r="CK8" s="13">
        <v>189</v>
      </c>
      <c r="CL8" s="13">
        <v>731</v>
      </c>
      <c r="CM8" s="13">
        <v>1107</v>
      </c>
      <c r="CN8" s="13">
        <v>1006</v>
      </c>
      <c r="CO8" s="13">
        <v>1116</v>
      </c>
      <c r="CP8" s="13">
        <v>1038</v>
      </c>
      <c r="CQ8" s="13">
        <v>379</v>
      </c>
      <c r="CR8" s="13">
        <v>581</v>
      </c>
      <c r="CS8" s="13">
        <v>1365</v>
      </c>
      <c r="CT8" s="13">
        <v>997</v>
      </c>
      <c r="CU8" s="13">
        <v>893</v>
      </c>
      <c r="CV8" s="13">
        <v>1259</v>
      </c>
      <c r="CW8" s="13">
        <v>829</v>
      </c>
      <c r="CX8" s="13">
        <v>746</v>
      </c>
      <c r="CY8" s="13">
        <v>422</v>
      </c>
      <c r="CZ8" s="13">
        <v>564</v>
      </c>
      <c r="DA8" s="13">
        <v>924</v>
      </c>
      <c r="DB8" s="13">
        <v>1068</v>
      </c>
      <c r="DC8" s="13">
        <v>628</v>
      </c>
      <c r="DD8" s="13">
        <v>956</v>
      </c>
      <c r="DE8" s="13">
        <v>491</v>
      </c>
      <c r="DF8" s="13">
        <v>514</v>
      </c>
      <c r="DG8" s="13">
        <v>683</v>
      </c>
      <c r="DH8" s="13">
        <v>688</v>
      </c>
      <c r="DI8" s="13">
        <v>653</v>
      </c>
      <c r="DJ8" s="13">
        <v>1255</v>
      </c>
      <c r="DK8" s="13">
        <v>546</v>
      </c>
      <c r="DL8" s="13">
        <v>500</v>
      </c>
      <c r="DM8" s="13">
        <v>243</v>
      </c>
      <c r="DN8" s="13">
        <v>944</v>
      </c>
      <c r="DO8" s="13">
        <v>886</v>
      </c>
      <c r="DP8" s="13">
        <v>885</v>
      </c>
      <c r="DQ8" s="13">
        <v>804</v>
      </c>
      <c r="DR8" s="13">
        <v>623</v>
      </c>
      <c r="DS8" s="13">
        <v>721</v>
      </c>
      <c r="DT8" s="13">
        <v>301</v>
      </c>
      <c r="DU8" s="13">
        <v>1127</v>
      </c>
      <c r="DV8" s="13">
        <v>343</v>
      </c>
      <c r="DW8" s="13">
        <v>980</v>
      </c>
      <c r="DX8" s="13">
        <v>855</v>
      </c>
      <c r="DY8" s="13">
        <v>865</v>
      </c>
      <c r="DZ8" s="13">
        <v>321</v>
      </c>
      <c r="EA8" s="13">
        <v>382</v>
      </c>
      <c r="EB8" s="13">
        <v>742</v>
      </c>
      <c r="EC8" s="13">
        <v>864</v>
      </c>
      <c r="ED8" s="13">
        <v>857</v>
      </c>
      <c r="EE8" s="13">
        <v>1123</v>
      </c>
      <c r="EF8" s="13">
        <v>477</v>
      </c>
      <c r="EG8" s="13">
        <v>467</v>
      </c>
      <c r="EH8" s="13">
        <v>397</v>
      </c>
      <c r="EI8" s="13">
        <v>523</v>
      </c>
      <c r="EJ8" s="13">
        <v>272</v>
      </c>
      <c r="EK8" s="13">
        <v>801</v>
      </c>
      <c r="EL8" s="13">
        <v>607</v>
      </c>
      <c r="EM8" s="13">
        <v>796</v>
      </c>
      <c r="EN8" s="13">
        <v>671</v>
      </c>
      <c r="EO8" s="13">
        <v>254</v>
      </c>
      <c r="EP8" s="13">
        <v>786</v>
      </c>
      <c r="EQ8" s="13">
        <v>560</v>
      </c>
      <c r="ER8" s="13">
        <v>608</v>
      </c>
      <c r="ES8" s="13">
        <v>468</v>
      </c>
      <c r="ET8" s="13">
        <v>583</v>
      </c>
      <c r="EU8" s="13">
        <v>277</v>
      </c>
      <c r="EV8" s="13">
        <v>421</v>
      </c>
      <c r="EW8" s="13">
        <v>649</v>
      </c>
      <c r="EX8" s="13">
        <v>439</v>
      </c>
      <c r="EY8" s="13">
        <v>796</v>
      </c>
      <c r="EZ8" s="13">
        <v>514</v>
      </c>
      <c r="FA8" s="13">
        <v>728</v>
      </c>
      <c r="FB8" s="13">
        <v>569</v>
      </c>
      <c r="FC8" s="13">
        <v>471</v>
      </c>
      <c r="FD8" s="13">
        <v>650</v>
      </c>
      <c r="FE8" s="13">
        <v>963</v>
      </c>
      <c r="FF8" s="13">
        <v>351</v>
      </c>
      <c r="FG8" s="13">
        <v>308</v>
      </c>
      <c r="FH8" s="13">
        <v>412</v>
      </c>
      <c r="FI8" s="13">
        <v>336</v>
      </c>
      <c r="FJ8" s="13">
        <v>336</v>
      </c>
      <c r="FK8" s="13">
        <v>646</v>
      </c>
      <c r="FL8" s="13">
        <v>1445</v>
      </c>
      <c r="FM8" s="13">
        <v>931</v>
      </c>
      <c r="FN8" s="13">
        <v>477</v>
      </c>
      <c r="FO8" s="13">
        <v>889</v>
      </c>
      <c r="FP8" s="13">
        <v>525</v>
      </c>
      <c r="FQ8" s="13">
        <v>532</v>
      </c>
      <c r="FR8" s="13">
        <v>814</v>
      </c>
      <c r="FS8" s="13">
        <v>1559</v>
      </c>
      <c r="FT8" s="13">
        <v>1286</v>
      </c>
      <c r="FU8" s="13">
        <v>1654</v>
      </c>
      <c r="FV8" s="13">
        <v>1189</v>
      </c>
      <c r="FW8" s="13">
        <v>1249</v>
      </c>
      <c r="FX8" s="13">
        <v>1294</v>
      </c>
      <c r="FY8" s="13">
        <v>1375</v>
      </c>
      <c r="FZ8" s="13">
        <v>1478</v>
      </c>
      <c r="GA8" s="13">
        <v>1141</v>
      </c>
      <c r="GB8" s="13">
        <v>2264</v>
      </c>
      <c r="GC8" s="13">
        <v>1430</v>
      </c>
      <c r="GD8" s="13">
        <v>2002</v>
      </c>
      <c r="GE8" s="13">
        <v>1464</v>
      </c>
      <c r="GF8" s="13">
        <v>1517</v>
      </c>
      <c r="GG8" s="13">
        <v>1290</v>
      </c>
      <c r="GH8" s="13">
        <v>1905</v>
      </c>
      <c r="GI8" s="13">
        <v>1567</v>
      </c>
      <c r="GJ8" s="13">
        <v>1284</v>
      </c>
      <c r="GK8" s="13">
        <v>1385</v>
      </c>
      <c r="GL8" s="13">
        <v>1729</v>
      </c>
      <c r="GM8" s="13">
        <v>2305</v>
      </c>
      <c r="GN8" s="13">
        <v>2102</v>
      </c>
      <c r="GO8" s="13">
        <v>407</v>
      </c>
      <c r="GP8" s="13">
        <v>313</v>
      </c>
      <c r="GQ8" s="13">
        <v>474</v>
      </c>
      <c r="GR8" s="13">
        <v>408</v>
      </c>
      <c r="GS8" s="13">
        <v>547</v>
      </c>
      <c r="GT8" s="13">
        <v>560</v>
      </c>
      <c r="GU8" s="13">
        <v>145</v>
      </c>
      <c r="GV8" s="13">
        <v>589</v>
      </c>
      <c r="GW8" s="13">
        <v>279</v>
      </c>
      <c r="GX8" s="13">
        <v>584</v>
      </c>
      <c r="GY8" s="13">
        <v>325</v>
      </c>
      <c r="GZ8" s="13">
        <v>184</v>
      </c>
      <c r="HA8" s="13">
        <v>228</v>
      </c>
      <c r="HB8" s="13">
        <v>673</v>
      </c>
      <c r="HC8" s="13">
        <v>256</v>
      </c>
      <c r="HD8" s="13">
        <v>66</v>
      </c>
      <c r="HE8" s="13">
        <v>378</v>
      </c>
      <c r="HF8" s="13">
        <v>434</v>
      </c>
      <c r="HG8" s="13">
        <v>251</v>
      </c>
      <c r="HH8" s="13">
        <v>465</v>
      </c>
      <c r="HI8" s="13">
        <v>212</v>
      </c>
      <c r="HJ8" s="13">
        <v>129</v>
      </c>
      <c r="HK8" s="13">
        <v>46</v>
      </c>
      <c r="HL8" s="13">
        <v>364</v>
      </c>
      <c r="HM8" s="13">
        <v>219</v>
      </c>
      <c r="HN8" s="13">
        <v>508</v>
      </c>
      <c r="HO8" s="13">
        <v>538</v>
      </c>
      <c r="HP8" s="13">
        <v>235</v>
      </c>
      <c r="HQ8" s="13">
        <v>533</v>
      </c>
      <c r="HR8" s="13">
        <v>311</v>
      </c>
      <c r="HS8" s="13">
        <v>706</v>
      </c>
      <c r="HT8" s="13">
        <v>231</v>
      </c>
      <c r="HU8" s="13">
        <v>254</v>
      </c>
      <c r="HV8" s="13">
        <v>455</v>
      </c>
      <c r="HW8" s="13">
        <v>1072</v>
      </c>
      <c r="HX8" s="13">
        <v>794</v>
      </c>
      <c r="HY8" s="13">
        <v>453</v>
      </c>
      <c r="HZ8" s="13">
        <v>754</v>
      </c>
      <c r="IA8" s="13">
        <v>703</v>
      </c>
      <c r="IB8" s="13">
        <v>458</v>
      </c>
      <c r="IC8" s="13">
        <v>824</v>
      </c>
      <c r="ID8" s="13">
        <v>692</v>
      </c>
      <c r="IE8" s="13">
        <v>791</v>
      </c>
      <c r="IF8" s="13">
        <v>625</v>
      </c>
      <c r="IG8" s="13">
        <v>415</v>
      </c>
      <c r="IH8" s="13">
        <v>584</v>
      </c>
      <c r="II8" s="13">
        <v>328</v>
      </c>
      <c r="IJ8" s="13">
        <v>144</v>
      </c>
      <c r="IK8" s="13">
        <v>397</v>
      </c>
      <c r="IL8" s="13">
        <v>232</v>
      </c>
      <c r="IM8" s="13">
        <v>227</v>
      </c>
      <c r="IN8" s="13">
        <v>153</v>
      </c>
      <c r="IO8" s="13">
        <v>116</v>
      </c>
      <c r="IP8" s="13">
        <v>225</v>
      </c>
      <c r="IQ8" s="13">
        <v>392</v>
      </c>
      <c r="IR8" s="13">
        <v>542</v>
      </c>
      <c r="IS8" s="13">
        <v>635</v>
      </c>
      <c r="IT8" s="13">
        <v>206</v>
      </c>
      <c r="IU8" s="13">
        <v>358</v>
      </c>
      <c r="IV8" s="13">
        <v>527</v>
      </c>
      <c r="IW8" s="13">
        <v>396</v>
      </c>
      <c r="IX8" s="13">
        <v>479</v>
      </c>
      <c r="IY8" s="13">
        <v>633</v>
      </c>
      <c r="IZ8" s="13">
        <v>488</v>
      </c>
      <c r="JA8" s="13">
        <v>508</v>
      </c>
      <c r="JB8" s="13">
        <v>383</v>
      </c>
      <c r="JC8" s="13">
        <v>370</v>
      </c>
      <c r="JD8" s="13">
        <v>547</v>
      </c>
      <c r="JE8" s="13">
        <v>914</v>
      </c>
      <c r="JF8" s="13">
        <v>565</v>
      </c>
      <c r="JG8" s="13">
        <v>308</v>
      </c>
      <c r="JH8" s="13">
        <v>479</v>
      </c>
      <c r="JI8" s="13">
        <v>368</v>
      </c>
      <c r="JJ8" s="13">
        <v>218</v>
      </c>
      <c r="JK8" s="13">
        <v>218</v>
      </c>
      <c r="JL8" s="13">
        <v>461</v>
      </c>
      <c r="JM8" s="13">
        <v>280</v>
      </c>
      <c r="JN8" s="13">
        <v>252</v>
      </c>
      <c r="JO8" s="13">
        <v>255</v>
      </c>
      <c r="JP8" s="13">
        <v>308</v>
      </c>
      <c r="JQ8" s="13">
        <v>328</v>
      </c>
      <c r="JR8" s="13">
        <v>292</v>
      </c>
      <c r="JS8" s="13">
        <v>246</v>
      </c>
      <c r="JT8" s="13">
        <v>633</v>
      </c>
      <c r="JU8" s="13">
        <v>745</v>
      </c>
      <c r="JV8" s="13">
        <v>509</v>
      </c>
      <c r="JW8" s="13">
        <v>387</v>
      </c>
      <c r="JX8" s="13">
        <v>455</v>
      </c>
      <c r="JY8" s="13">
        <v>503</v>
      </c>
      <c r="JZ8" s="13">
        <v>678</v>
      </c>
      <c r="KA8" s="13">
        <v>427</v>
      </c>
      <c r="KB8" s="13">
        <v>670</v>
      </c>
      <c r="KC8" s="13">
        <v>645</v>
      </c>
      <c r="KD8" s="13">
        <v>627</v>
      </c>
      <c r="KE8" s="13">
        <v>517</v>
      </c>
      <c r="KF8" s="13">
        <v>710</v>
      </c>
      <c r="KG8" s="13">
        <v>632</v>
      </c>
      <c r="KH8" s="13">
        <v>882</v>
      </c>
      <c r="KI8" s="13">
        <v>650</v>
      </c>
      <c r="KJ8" s="13">
        <v>882</v>
      </c>
      <c r="KK8" s="13">
        <v>708</v>
      </c>
      <c r="KL8" s="13">
        <v>627</v>
      </c>
      <c r="KM8" s="13">
        <v>915</v>
      </c>
      <c r="KN8" s="13">
        <v>508</v>
      </c>
      <c r="KO8" s="13">
        <v>779</v>
      </c>
      <c r="KP8" s="13">
        <v>566</v>
      </c>
      <c r="KQ8" s="13">
        <v>607</v>
      </c>
      <c r="KR8" s="13">
        <v>824</v>
      </c>
      <c r="KS8" s="13">
        <v>784</v>
      </c>
      <c r="KT8" s="13">
        <v>882</v>
      </c>
      <c r="KU8" s="13">
        <v>904</v>
      </c>
      <c r="KV8" s="13">
        <v>1073</v>
      </c>
      <c r="KW8" s="13">
        <v>986</v>
      </c>
      <c r="KX8" s="13">
        <v>412</v>
      </c>
      <c r="KY8" s="13">
        <v>521</v>
      </c>
      <c r="KZ8" s="13">
        <v>1058</v>
      </c>
      <c r="LA8" s="13">
        <v>1674</v>
      </c>
      <c r="LB8" s="13">
        <v>1092</v>
      </c>
      <c r="LC8" s="13">
        <v>1534</v>
      </c>
      <c r="LD8" s="13">
        <v>1411</v>
      </c>
      <c r="LE8" s="13">
        <v>1823</v>
      </c>
      <c r="LF8" s="13">
        <v>1848</v>
      </c>
      <c r="LG8" s="13">
        <v>2295</v>
      </c>
      <c r="LH8" s="13">
        <v>2365</v>
      </c>
      <c r="LI8" s="13">
        <v>2151</v>
      </c>
      <c r="LJ8" s="13">
        <v>1869</v>
      </c>
      <c r="LK8" s="13">
        <v>2346</v>
      </c>
      <c r="LL8" s="13">
        <v>1990</v>
      </c>
      <c r="LM8" s="13">
        <v>1898</v>
      </c>
      <c r="LN8" s="13">
        <v>1418</v>
      </c>
      <c r="LO8" s="13">
        <v>1199</v>
      </c>
      <c r="LP8" s="13">
        <v>1575</v>
      </c>
      <c r="LQ8" s="13">
        <v>1097</v>
      </c>
      <c r="LR8" s="13">
        <v>758</v>
      </c>
      <c r="LS8" s="13">
        <v>837</v>
      </c>
      <c r="LT8" s="13">
        <v>721</v>
      </c>
      <c r="LU8" s="13">
        <v>1215</v>
      </c>
      <c r="LV8" s="13">
        <v>769</v>
      </c>
      <c r="LW8" s="13">
        <v>661</v>
      </c>
      <c r="LX8" s="13">
        <v>1110</v>
      </c>
      <c r="LY8" s="13">
        <v>1191</v>
      </c>
      <c r="LZ8" s="13">
        <v>1197</v>
      </c>
      <c r="MA8" s="13">
        <v>1032</v>
      </c>
      <c r="MB8" s="13">
        <v>1014</v>
      </c>
      <c r="MC8" s="13">
        <v>1105</v>
      </c>
      <c r="MD8" s="13">
        <v>1316</v>
      </c>
      <c r="ME8" s="13">
        <v>1409</v>
      </c>
      <c r="MF8" s="13">
        <v>2174</v>
      </c>
      <c r="MG8" s="13">
        <v>2483</v>
      </c>
      <c r="MH8" s="13">
        <v>2206</v>
      </c>
      <c r="MI8" s="13">
        <v>3235</v>
      </c>
      <c r="MJ8" s="13">
        <v>4148</v>
      </c>
      <c r="MK8" s="13">
        <v>3802</v>
      </c>
      <c r="ML8" s="13">
        <v>4021</v>
      </c>
      <c r="MM8" s="13">
        <v>4773</v>
      </c>
      <c r="MN8" s="13">
        <v>5457</v>
      </c>
      <c r="MO8" s="13">
        <v>6584</v>
      </c>
      <c r="MP8" s="13">
        <v>6250</v>
      </c>
      <c r="MQ8" s="13">
        <v>7650</v>
      </c>
      <c r="MR8" s="13">
        <v>8154</v>
      </c>
      <c r="MS8" s="13">
        <v>8620</v>
      </c>
      <c r="MT8" s="13">
        <v>10193</v>
      </c>
      <c r="MU8" s="13">
        <v>10525</v>
      </c>
      <c r="MV8" s="13">
        <v>12823</v>
      </c>
      <c r="MW8" s="13">
        <v>14573</v>
      </c>
      <c r="MX8" s="13">
        <v>15758</v>
      </c>
      <c r="MY8" s="13">
        <v>16758</v>
      </c>
      <c r="MZ8" s="13">
        <v>22128</v>
      </c>
      <c r="NA8" s="13">
        <v>26441</v>
      </c>
      <c r="NB8" s="13">
        <v>28804</v>
      </c>
      <c r="NC8" s="13">
        <v>25318</v>
      </c>
      <c r="ND8" s="13">
        <v>25014</v>
      </c>
      <c r="NE8" s="13">
        <v>27908</v>
      </c>
      <c r="NF8" s="13">
        <v>28179</v>
      </c>
      <c r="NG8" s="13">
        <v>29788</v>
      </c>
      <c r="NH8" s="13">
        <v>30081</v>
      </c>
      <c r="NI8" s="11">
        <v>26905</v>
      </c>
      <c r="NJ8" s="11">
        <v>29429</v>
      </c>
      <c r="NK8" s="13">
        <v>30068</v>
      </c>
      <c r="NL8" s="13">
        <v>26724</v>
      </c>
      <c r="NM8" s="11">
        <v>29307</v>
      </c>
      <c r="NN8" s="11">
        <v>31124</v>
      </c>
      <c r="NO8" s="11">
        <v>26702</v>
      </c>
      <c r="NP8" s="11">
        <v>26762</v>
      </c>
      <c r="NQ8" s="11">
        <v>21365</v>
      </c>
      <c r="NR8" s="11">
        <v>18457</v>
      </c>
      <c r="NS8" s="11">
        <v>12755</v>
      </c>
      <c r="NT8" s="11">
        <v>10055</v>
      </c>
      <c r="NU8" s="11">
        <v>8044</v>
      </c>
      <c r="NV8" s="11">
        <v>6509</v>
      </c>
      <c r="NW8" s="11">
        <v>4201</v>
      </c>
      <c r="NX8" s="11">
        <v>2364</v>
      </c>
      <c r="NY8" s="11">
        <v>1604</v>
      </c>
      <c r="NZ8" s="11">
        <v>914</v>
      </c>
      <c r="OA8" s="11">
        <v>583</v>
      </c>
      <c r="OB8" s="11">
        <v>325</v>
      </c>
      <c r="OC8" s="11">
        <v>1230</v>
      </c>
      <c r="OD8" s="11"/>
    </row>
    <row r="9" spans="1:397" ht="13.5" customHeight="1">
      <c r="A9" s="13" t="s">
        <v>63</v>
      </c>
      <c r="B9" s="13">
        <v>484</v>
      </c>
      <c r="C9" s="13">
        <v>520</v>
      </c>
      <c r="D9" s="13">
        <v>557</v>
      </c>
      <c r="E9" s="13">
        <v>605</v>
      </c>
      <c r="F9" s="13">
        <v>637</v>
      </c>
      <c r="G9" s="13">
        <v>689</v>
      </c>
      <c r="H9" s="13">
        <v>763</v>
      </c>
      <c r="I9" s="13">
        <v>820</v>
      </c>
      <c r="J9" s="13">
        <v>879</v>
      </c>
      <c r="K9" s="13">
        <v>969</v>
      </c>
      <c r="L9" s="13">
        <v>1057</v>
      </c>
      <c r="M9" s="13">
        <v>1118</v>
      </c>
      <c r="N9" s="13">
        <v>1176</v>
      </c>
      <c r="O9" s="13">
        <v>1235</v>
      </c>
      <c r="P9" s="13">
        <v>1304</v>
      </c>
      <c r="Q9" s="13">
        <v>1411</v>
      </c>
      <c r="R9" s="13">
        <v>1516</v>
      </c>
      <c r="S9" s="13">
        <v>1582</v>
      </c>
      <c r="T9" s="13">
        <v>1614</v>
      </c>
      <c r="U9" s="13">
        <v>1668</v>
      </c>
      <c r="V9" s="13">
        <v>1711</v>
      </c>
      <c r="W9" s="13">
        <v>1802</v>
      </c>
      <c r="X9" s="13">
        <v>1820</v>
      </c>
      <c r="Y9" s="13">
        <v>1862</v>
      </c>
      <c r="Z9" s="13">
        <v>1885</v>
      </c>
      <c r="AA9" s="13">
        <v>1850</v>
      </c>
      <c r="AB9" s="13">
        <v>1800</v>
      </c>
      <c r="AC9" s="13">
        <v>1750</v>
      </c>
      <c r="AD9" s="13">
        <v>1674</v>
      </c>
      <c r="AE9" s="13">
        <v>1598</v>
      </c>
      <c r="AF9" s="13">
        <v>1473</v>
      </c>
      <c r="AG9" s="13">
        <v>1387</v>
      </c>
      <c r="AH9" s="13">
        <v>1301</v>
      </c>
      <c r="AI9" s="13">
        <v>1205</v>
      </c>
      <c r="AJ9" s="13">
        <v>1113</v>
      </c>
      <c r="AK9" s="13">
        <v>1001</v>
      </c>
      <c r="AL9" s="13">
        <v>885</v>
      </c>
      <c r="AM9" s="13">
        <v>784</v>
      </c>
      <c r="AN9" s="13">
        <v>697</v>
      </c>
      <c r="AO9" s="13">
        <v>673</v>
      </c>
      <c r="AP9" s="13">
        <v>588</v>
      </c>
      <c r="AQ9" s="13">
        <v>535</v>
      </c>
      <c r="AR9" s="13">
        <v>521</v>
      </c>
      <c r="AS9" s="13">
        <v>485</v>
      </c>
      <c r="AT9" s="13">
        <v>443</v>
      </c>
      <c r="AU9" s="13">
        <v>432</v>
      </c>
      <c r="AV9" s="13">
        <v>411</v>
      </c>
      <c r="AW9" s="13">
        <v>395</v>
      </c>
      <c r="AX9" s="13">
        <v>383</v>
      </c>
      <c r="AY9" s="13">
        <v>370</v>
      </c>
      <c r="AZ9" s="13">
        <v>368</v>
      </c>
      <c r="BA9" s="13">
        <v>356</v>
      </c>
      <c r="BB9" s="13">
        <v>348</v>
      </c>
      <c r="BC9" s="13">
        <v>339</v>
      </c>
      <c r="BD9" s="13">
        <v>334</v>
      </c>
      <c r="BE9" s="13">
        <v>328</v>
      </c>
      <c r="BF9" s="13">
        <v>320</v>
      </c>
      <c r="BG9" s="13">
        <v>315</v>
      </c>
      <c r="BH9" s="13">
        <v>320</v>
      </c>
      <c r="BI9" s="13">
        <v>324</v>
      </c>
      <c r="BJ9" s="13">
        <v>318</v>
      </c>
      <c r="BK9" s="13">
        <v>309</v>
      </c>
      <c r="BL9" s="13">
        <v>307</v>
      </c>
      <c r="BM9" s="13">
        <v>304</v>
      </c>
      <c r="BN9" s="13">
        <v>301</v>
      </c>
      <c r="BO9" s="13">
        <v>315</v>
      </c>
      <c r="BP9" s="13">
        <v>312</v>
      </c>
      <c r="BQ9" s="13">
        <v>313</v>
      </c>
      <c r="BR9" s="13">
        <v>306</v>
      </c>
      <c r="BS9" s="13">
        <v>293</v>
      </c>
      <c r="BT9" s="13">
        <v>292</v>
      </c>
      <c r="BU9" s="13">
        <v>285</v>
      </c>
      <c r="BV9" s="13">
        <v>284</v>
      </c>
      <c r="BW9" s="13">
        <v>280</v>
      </c>
      <c r="BX9" s="13">
        <v>281</v>
      </c>
      <c r="BY9" s="13">
        <v>279</v>
      </c>
      <c r="BZ9" s="13">
        <v>273</v>
      </c>
      <c r="CA9" s="13">
        <v>271</v>
      </c>
      <c r="CB9" s="13">
        <v>266</v>
      </c>
      <c r="CC9" s="13">
        <v>268</v>
      </c>
      <c r="CD9" s="13">
        <v>277</v>
      </c>
      <c r="CE9" s="13">
        <v>277</v>
      </c>
      <c r="CF9" s="13">
        <v>280</v>
      </c>
      <c r="CG9" s="13">
        <v>285</v>
      </c>
      <c r="CH9" s="13">
        <v>303</v>
      </c>
      <c r="CI9" s="13">
        <v>306</v>
      </c>
      <c r="CJ9" s="13">
        <v>305</v>
      </c>
      <c r="CK9" s="13">
        <v>322</v>
      </c>
      <c r="CL9" s="13">
        <v>315</v>
      </c>
      <c r="CM9" s="13">
        <v>316</v>
      </c>
      <c r="CN9" s="13">
        <v>308</v>
      </c>
      <c r="CO9" s="13">
        <v>311</v>
      </c>
      <c r="CP9" s="13">
        <v>314</v>
      </c>
      <c r="CQ9" s="13">
        <v>324</v>
      </c>
      <c r="CR9" s="13">
        <v>7</v>
      </c>
      <c r="CS9" s="13">
        <v>374</v>
      </c>
      <c r="CT9" s="13">
        <v>385</v>
      </c>
      <c r="CU9" s="13">
        <v>388</v>
      </c>
      <c r="CV9" s="13">
        <v>394</v>
      </c>
      <c r="CW9" s="13">
        <v>413</v>
      </c>
      <c r="CX9" s="13">
        <v>422</v>
      </c>
      <c r="CY9" s="13">
        <v>426</v>
      </c>
      <c r="CZ9" s="13">
        <v>424</v>
      </c>
      <c r="DA9" s="13">
        <v>410</v>
      </c>
      <c r="DB9" s="13">
        <v>419</v>
      </c>
      <c r="DC9" s="13">
        <v>419</v>
      </c>
      <c r="DD9" s="13">
        <v>400</v>
      </c>
      <c r="DE9" s="13">
        <v>392</v>
      </c>
      <c r="DF9" s="13">
        <v>391</v>
      </c>
      <c r="DG9" s="13">
        <v>363</v>
      </c>
      <c r="DH9" s="13">
        <v>359</v>
      </c>
      <c r="DI9" s="13">
        <v>355</v>
      </c>
      <c r="DJ9" s="13">
        <v>339</v>
      </c>
      <c r="DK9" s="13">
        <v>338</v>
      </c>
      <c r="DL9" s="13">
        <v>298</v>
      </c>
      <c r="DM9" s="13">
        <v>264</v>
      </c>
      <c r="DN9" s="13">
        <v>265</v>
      </c>
      <c r="DO9" s="13">
        <v>265</v>
      </c>
      <c r="DP9" s="13">
        <v>265</v>
      </c>
      <c r="DQ9" s="13">
        <v>248</v>
      </c>
      <c r="DR9" s="13">
        <v>245</v>
      </c>
      <c r="DS9" s="13">
        <v>247</v>
      </c>
      <c r="DT9" s="13">
        <v>258</v>
      </c>
      <c r="DU9" s="13">
        <v>249</v>
      </c>
      <c r="DV9" s="13">
        <v>252</v>
      </c>
      <c r="DW9" s="13">
        <v>259</v>
      </c>
      <c r="DX9" s="13">
        <v>253</v>
      </c>
      <c r="DY9" s="13">
        <v>240</v>
      </c>
      <c r="DZ9" s="13">
        <v>241</v>
      </c>
      <c r="EA9" s="13">
        <v>222</v>
      </c>
      <c r="EB9" s="13">
        <v>230</v>
      </c>
      <c r="EC9" s="13">
        <v>218</v>
      </c>
      <c r="ED9" s="13">
        <v>206</v>
      </c>
      <c r="EE9" s="13">
        <v>206</v>
      </c>
      <c r="EF9" s="13">
        <v>200</v>
      </c>
      <c r="EG9" s="13">
        <v>205</v>
      </c>
      <c r="EH9" s="13">
        <v>213</v>
      </c>
      <c r="EI9" s="13">
        <v>208</v>
      </c>
      <c r="EJ9" s="13">
        <v>195</v>
      </c>
      <c r="EK9" s="13">
        <v>189</v>
      </c>
      <c r="EL9" s="13">
        <v>189</v>
      </c>
      <c r="EM9" s="13">
        <v>186</v>
      </c>
      <c r="EN9" s="13">
        <v>191</v>
      </c>
      <c r="EO9" s="13">
        <v>184</v>
      </c>
      <c r="EP9" s="13">
        <v>185</v>
      </c>
      <c r="EQ9" s="13">
        <v>176</v>
      </c>
      <c r="ER9" s="13">
        <v>167</v>
      </c>
      <c r="ES9" s="13">
        <v>166</v>
      </c>
      <c r="ET9" s="13">
        <v>167</v>
      </c>
      <c r="EU9" s="13">
        <v>168</v>
      </c>
      <c r="EV9" s="13">
        <v>166</v>
      </c>
      <c r="EW9" s="13">
        <v>173</v>
      </c>
      <c r="EX9" s="13">
        <v>168</v>
      </c>
      <c r="EY9" s="13">
        <v>171</v>
      </c>
      <c r="EZ9" s="13">
        <v>165</v>
      </c>
      <c r="FA9" s="13">
        <v>141</v>
      </c>
      <c r="FB9" s="13">
        <v>143</v>
      </c>
      <c r="FC9" s="13">
        <v>142</v>
      </c>
      <c r="FD9" s="13">
        <v>145</v>
      </c>
      <c r="FE9" s="13">
        <v>151</v>
      </c>
      <c r="FF9" s="13">
        <v>154</v>
      </c>
      <c r="FG9" s="13">
        <v>157</v>
      </c>
      <c r="FH9" s="13">
        <v>161</v>
      </c>
      <c r="FI9" s="13">
        <v>165</v>
      </c>
      <c r="FJ9" s="13">
        <v>175</v>
      </c>
      <c r="FK9" s="13">
        <v>180</v>
      </c>
      <c r="FL9" s="13">
        <v>186</v>
      </c>
      <c r="FM9" s="13">
        <v>194</v>
      </c>
      <c r="FN9" s="13">
        <v>205</v>
      </c>
      <c r="FO9" s="13">
        <v>192</v>
      </c>
      <c r="FP9" s="13">
        <v>198</v>
      </c>
      <c r="FQ9" s="13">
        <v>216</v>
      </c>
      <c r="FR9" s="13">
        <v>237</v>
      </c>
      <c r="FS9" s="13">
        <v>244</v>
      </c>
      <c r="FT9" s="13">
        <v>262</v>
      </c>
      <c r="FU9" s="13">
        <v>288</v>
      </c>
      <c r="FV9" s="13">
        <v>324</v>
      </c>
      <c r="FW9" s="13">
        <v>347</v>
      </c>
      <c r="FX9" s="13">
        <v>386</v>
      </c>
      <c r="FY9" s="13">
        <v>408</v>
      </c>
      <c r="FZ9" s="13">
        <v>422</v>
      </c>
      <c r="GA9" s="13">
        <v>454</v>
      </c>
      <c r="GB9" s="13">
        <v>491</v>
      </c>
      <c r="GC9" s="13">
        <v>516</v>
      </c>
      <c r="GD9" s="13">
        <v>569</v>
      </c>
      <c r="GE9" s="13">
        <v>595</v>
      </c>
      <c r="GF9" s="13">
        <v>612</v>
      </c>
      <c r="GG9" s="13">
        <v>618</v>
      </c>
      <c r="GH9" s="13">
        <v>655</v>
      </c>
      <c r="GI9" s="13">
        <v>690</v>
      </c>
      <c r="GJ9" s="13">
        <v>724</v>
      </c>
      <c r="GK9" s="13">
        <v>761</v>
      </c>
      <c r="GL9" s="13">
        <v>794</v>
      </c>
      <c r="GM9" s="13">
        <v>802</v>
      </c>
      <c r="GN9" s="13">
        <v>817</v>
      </c>
      <c r="GO9" s="13">
        <v>839</v>
      </c>
      <c r="GP9" s="13">
        <v>843</v>
      </c>
      <c r="GQ9" s="13">
        <v>837</v>
      </c>
      <c r="GR9" s="13">
        <v>810</v>
      </c>
      <c r="GS9" s="13">
        <v>800</v>
      </c>
      <c r="GT9" s="13">
        <v>781</v>
      </c>
      <c r="GU9" s="13">
        <v>748</v>
      </c>
      <c r="GV9" s="13">
        <v>714</v>
      </c>
      <c r="GW9" s="13">
        <v>684</v>
      </c>
      <c r="GX9" s="13">
        <v>574</v>
      </c>
      <c r="GY9" s="13">
        <v>482</v>
      </c>
      <c r="GZ9" s="13">
        <v>391</v>
      </c>
      <c r="HA9" s="13">
        <v>339</v>
      </c>
      <c r="HB9" s="13">
        <v>288</v>
      </c>
      <c r="HC9" s="13">
        <v>261</v>
      </c>
      <c r="HD9" s="13">
        <v>243</v>
      </c>
      <c r="HE9" s="13">
        <v>240</v>
      </c>
      <c r="HF9" s="13">
        <v>233</v>
      </c>
      <c r="HG9" s="13">
        <v>242</v>
      </c>
      <c r="HH9" s="13">
        <v>249</v>
      </c>
      <c r="HI9" s="13">
        <v>251</v>
      </c>
      <c r="HJ9" s="13">
        <v>252</v>
      </c>
      <c r="HK9" s="13">
        <v>251</v>
      </c>
      <c r="HL9" s="13">
        <v>259</v>
      </c>
      <c r="HM9" s="13">
        <v>284</v>
      </c>
      <c r="HN9" s="13">
        <v>297</v>
      </c>
      <c r="HO9" s="13">
        <v>320</v>
      </c>
      <c r="HP9" s="13">
        <v>326</v>
      </c>
      <c r="HQ9" s="13">
        <v>330</v>
      </c>
      <c r="HR9" s="13">
        <v>342</v>
      </c>
      <c r="HS9" s="13">
        <v>357</v>
      </c>
      <c r="HT9" s="13">
        <v>390</v>
      </c>
      <c r="HU9" s="13">
        <v>403</v>
      </c>
      <c r="HV9" s="13">
        <v>405</v>
      </c>
      <c r="HW9" s="13">
        <v>403</v>
      </c>
      <c r="HX9" s="13">
        <v>402</v>
      </c>
      <c r="HY9" s="13">
        <v>409</v>
      </c>
      <c r="HZ9" s="13">
        <v>416</v>
      </c>
      <c r="IA9" s="13">
        <v>421</v>
      </c>
      <c r="IB9" s="13">
        <v>428</v>
      </c>
      <c r="IC9" s="13">
        <v>418</v>
      </c>
      <c r="ID9" s="13">
        <v>415</v>
      </c>
      <c r="IE9" s="13">
        <v>405</v>
      </c>
      <c r="IF9" s="13">
        <v>389</v>
      </c>
      <c r="IG9" s="13">
        <v>382</v>
      </c>
      <c r="IH9" s="13">
        <v>368</v>
      </c>
      <c r="II9" s="13">
        <v>359</v>
      </c>
      <c r="IJ9" s="13">
        <v>349</v>
      </c>
      <c r="IK9" s="13">
        <v>331</v>
      </c>
      <c r="IL9" s="13">
        <v>308</v>
      </c>
      <c r="IM9" s="13">
        <v>293</v>
      </c>
      <c r="IN9" s="13">
        <v>265</v>
      </c>
      <c r="IO9" s="13">
        <v>252</v>
      </c>
      <c r="IP9" s="13">
        <v>210</v>
      </c>
      <c r="IQ9" s="13">
        <v>177</v>
      </c>
      <c r="IR9" s="13">
        <v>129</v>
      </c>
      <c r="IS9" s="13">
        <v>74</v>
      </c>
      <c r="IT9" s="13">
        <v>65</v>
      </c>
      <c r="IU9" s="13">
        <v>62</v>
      </c>
      <c r="IV9" s="13">
        <v>55</v>
      </c>
      <c r="IW9" s="13">
        <v>58</v>
      </c>
      <c r="IX9" s="13">
        <v>65</v>
      </c>
      <c r="IY9" s="13">
        <v>70</v>
      </c>
      <c r="IZ9" s="13">
        <v>67</v>
      </c>
      <c r="JA9" s="13">
        <v>66</v>
      </c>
      <c r="JB9" s="13">
        <v>69</v>
      </c>
      <c r="JC9" s="13">
        <v>73</v>
      </c>
      <c r="JD9" s="13">
        <v>73</v>
      </c>
      <c r="JE9" s="13">
        <v>76</v>
      </c>
      <c r="JF9" s="13">
        <v>63</v>
      </c>
      <c r="JG9" s="13">
        <v>63</v>
      </c>
      <c r="JH9" s="13">
        <v>70</v>
      </c>
      <c r="JI9" s="13">
        <v>73</v>
      </c>
      <c r="JJ9" s="13">
        <v>79</v>
      </c>
      <c r="JK9" s="13">
        <v>81</v>
      </c>
      <c r="JL9" s="13">
        <v>83</v>
      </c>
      <c r="JM9" s="13">
        <v>79</v>
      </c>
      <c r="JN9" s="13">
        <v>79</v>
      </c>
      <c r="JO9" s="13">
        <v>82</v>
      </c>
      <c r="JP9" s="13">
        <v>84</v>
      </c>
      <c r="JQ9" s="13">
        <v>87</v>
      </c>
      <c r="JR9" s="13">
        <v>85</v>
      </c>
      <c r="JS9" s="13">
        <v>82</v>
      </c>
      <c r="JT9" s="13">
        <v>86</v>
      </c>
      <c r="JU9" s="13">
        <v>89</v>
      </c>
      <c r="JV9" s="13">
        <v>91</v>
      </c>
      <c r="JW9" s="13">
        <v>101</v>
      </c>
      <c r="JX9" s="13">
        <v>104</v>
      </c>
      <c r="JY9" s="13">
        <v>115</v>
      </c>
      <c r="JZ9" s="13">
        <v>141</v>
      </c>
      <c r="KA9" s="13">
        <v>148</v>
      </c>
      <c r="KB9" s="13">
        <v>208</v>
      </c>
      <c r="KC9" s="13">
        <v>260</v>
      </c>
      <c r="KD9" s="13">
        <v>295</v>
      </c>
      <c r="KE9" s="13">
        <v>339</v>
      </c>
      <c r="KF9" s="13">
        <v>395</v>
      </c>
      <c r="KG9" s="13">
        <v>481</v>
      </c>
      <c r="KH9" s="13">
        <v>531</v>
      </c>
      <c r="KI9" s="13">
        <v>557</v>
      </c>
      <c r="KJ9" s="13">
        <v>599</v>
      </c>
      <c r="KK9" s="13">
        <v>619</v>
      </c>
      <c r="KL9" s="13">
        <v>647</v>
      </c>
      <c r="KM9" s="13">
        <v>648</v>
      </c>
      <c r="KN9" s="13">
        <v>723</v>
      </c>
      <c r="KO9" s="13">
        <v>801</v>
      </c>
      <c r="KP9" s="13">
        <v>838</v>
      </c>
      <c r="KQ9" s="13">
        <v>915</v>
      </c>
      <c r="KR9" s="13">
        <v>959</v>
      </c>
      <c r="KS9" s="13">
        <v>1005</v>
      </c>
      <c r="KT9" s="13">
        <v>1003</v>
      </c>
      <c r="KU9" s="13">
        <v>1031</v>
      </c>
      <c r="KV9" s="13">
        <v>1041</v>
      </c>
      <c r="KW9" s="13">
        <v>1058</v>
      </c>
      <c r="KX9" s="13">
        <v>1081</v>
      </c>
      <c r="KY9" s="13">
        <v>1107</v>
      </c>
      <c r="KZ9" s="13">
        <v>1137</v>
      </c>
      <c r="LA9" s="13">
        <v>1170</v>
      </c>
      <c r="LB9" s="13">
        <v>1156</v>
      </c>
      <c r="LC9" s="13">
        <v>1138</v>
      </c>
      <c r="LD9" s="13">
        <v>1089</v>
      </c>
      <c r="LE9" s="13">
        <v>1116</v>
      </c>
      <c r="LF9" s="13">
        <v>1160</v>
      </c>
      <c r="LG9" s="13">
        <v>1190</v>
      </c>
      <c r="LH9" s="13">
        <v>1242</v>
      </c>
      <c r="LI9" s="13">
        <v>1299</v>
      </c>
      <c r="LJ9" s="13">
        <v>1376</v>
      </c>
      <c r="LK9" s="13">
        <v>1562</v>
      </c>
      <c r="LL9" s="13">
        <v>1727</v>
      </c>
      <c r="LM9" s="13">
        <v>1863</v>
      </c>
      <c r="LN9" s="13">
        <v>2004</v>
      </c>
      <c r="LO9" s="13">
        <v>2161</v>
      </c>
      <c r="LP9" s="13">
        <v>2396</v>
      </c>
      <c r="LQ9" s="13">
        <v>2691</v>
      </c>
      <c r="LR9" s="13">
        <v>3128</v>
      </c>
      <c r="LS9" s="13">
        <v>3460</v>
      </c>
      <c r="LT9" s="13">
        <v>3947</v>
      </c>
      <c r="LU9" s="13">
        <v>4287</v>
      </c>
      <c r="LV9" s="13">
        <v>4735</v>
      </c>
      <c r="LW9" s="13">
        <v>5120</v>
      </c>
      <c r="LX9" s="13">
        <v>5549</v>
      </c>
      <c r="LY9" s="13">
        <v>6013</v>
      </c>
      <c r="LZ9" s="13">
        <v>6569</v>
      </c>
      <c r="MA9" s="13">
        <v>7263</v>
      </c>
      <c r="MB9" s="13">
        <v>8056</v>
      </c>
      <c r="MC9" s="13">
        <v>8976</v>
      </c>
      <c r="MD9" s="13">
        <v>9898</v>
      </c>
      <c r="ME9" s="13">
        <v>10734</v>
      </c>
      <c r="MF9" s="13">
        <v>12094</v>
      </c>
      <c r="MG9" s="13">
        <v>13526</v>
      </c>
      <c r="MH9" s="13">
        <v>14831</v>
      </c>
      <c r="MI9" s="13">
        <v>16145</v>
      </c>
      <c r="MJ9" s="13">
        <v>17721</v>
      </c>
      <c r="MK9" s="13">
        <v>19016</v>
      </c>
      <c r="ML9" s="13">
        <v>20533</v>
      </c>
      <c r="MM9" s="13">
        <v>22177</v>
      </c>
      <c r="MN9" s="13">
        <v>23784</v>
      </c>
      <c r="MO9" s="13">
        <v>25352</v>
      </c>
      <c r="MP9" s="13">
        <v>27433</v>
      </c>
      <c r="MQ9" s="13">
        <v>30004</v>
      </c>
      <c r="MR9" s="13">
        <v>32653</v>
      </c>
      <c r="MS9" s="13">
        <v>35329</v>
      </c>
      <c r="MT9" s="13">
        <v>37414</v>
      </c>
      <c r="MU9" s="13">
        <v>39919</v>
      </c>
      <c r="MV9" s="13">
        <v>43258</v>
      </c>
      <c r="MW9" s="13">
        <v>45604</v>
      </c>
      <c r="MX9" s="13">
        <v>47672</v>
      </c>
      <c r="MY9" s="13">
        <v>49824</v>
      </c>
      <c r="MZ9" s="13">
        <v>51606</v>
      </c>
      <c r="NA9" s="13">
        <v>53284</v>
      </c>
      <c r="NB9" s="13">
        <v>54965</v>
      </c>
      <c r="NC9" s="13">
        <v>56303</v>
      </c>
      <c r="ND9" s="13">
        <v>57805</v>
      </c>
      <c r="NE9" s="13">
        <v>58016</v>
      </c>
      <c r="NF9" s="13">
        <v>57934</v>
      </c>
      <c r="NG9" s="13">
        <v>57416</v>
      </c>
      <c r="NH9" s="13">
        <v>56873</v>
      </c>
      <c r="NI9" s="11">
        <v>55748</v>
      </c>
      <c r="NJ9" s="11">
        <v>52526</v>
      </c>
      <c r="NK9" s="13">
        <v>38800</v>
      </c>
      <c r="NL9" s="13">
        <v>37626</v>
      </c>
      <c r="NM9" s="11">
        <v>35982</v>
      </c>
      <c r="NN9" s="11">
        <v>33738</v>
      </c>
      <c r="NO9" s="11">
        <v>31774</v>
      </c>
      <c r="NP9" s="11">
        <v>28985</v>
      </c>
      <c r="NQ9" s="11">
        <v>26302</v>
      </c>
    </row>
    <row r="10" spans="1:397">
      <c r="A10" s="13" t="s">
        <v>77</v>
      </c>
      <c r="B10" s="13">
        <v>8</v>
      </c>
      <c r="C10" s="13">
        <v>10</v>
      </c>
      <c r="D10" s="13">
        <v>10</v>
      </c>
      <c r="E10" s="13">
        <v>10</v>
      </c>
      <c r="F10" s="13">
        <v>11</v>
      </c>
      <c r="G10" s="13">
        <v>12</v>
      </c>
      <c r="H10" s="13">
        <v>12</v>
      </c>
      <c r="I10" s="13">
        <v>12</v>
      </c>
      <c r="J10" s="13">
        <v>13</v>
      </c>
      <c r="K10" s="13">
        <v>17</v>
      </c>
      <c r="L10" s="13">
        <v>18</v>
      </c>
      <c r="M10" s="13">
        <v>20</v>
      </c>
      <c r="N10" s="13">
        <v>25</v>
      </c>
      <c r="O10" s="13">
        <v>27</v>
      </c>
      <c r="P10" s="13">
        <v>36</v>
      </c>
      <c r="Q10" s="13">
        <v>49</v>
      </c>
      <c r="R10" s="13">
        <v>66</v>
      </c>
      <c r="S10" s="13">
        <v>72</v>
      </c>
      <c r="T10" s="13">
        <v>68</v>
      </c>
      <c r="U10" s="13">
        <v>76</v>
      </c>
      <c r="V10" s="13">
        <v>78</v>
      </c>
      <c r="W10" s="13">
        <v>99</v>
      </c>
      <c r="X10" s="13">
        <v>105</v>
      </c>
      <c r="Y10" s="13">
        <v>111</v>
      </c>
      <c r="Z10" s="13">
        <v>110</v>
      </c>
      <c r="AA10" s="13">
        <v>109</v>
      </c>
      <c r="AB10" s="13">
        <v>94</v>
      </c>
      <c r="AC10" s="13">
        <v>85</v>
      </c>
      <c r="AD10" s="13">
        <v>80</v>
      </c>
      <c r="AE10" s="13">
        <v>68</v>
      </c>
      <c r="AF10" s="13">
        <v>62</v>
      </c>
      <c r="AG10" s="13">
        <v>61</v>
      </c>
      <c r="AH10" s="13">
        <v>43</v>
      </c>
      <c r="AI10" s="13">
        <v>42</v>
      </c>
      <c r="AJ10" s="13">
        <v>38</v>
      </c>
      <c r="AK10" s="13">
        <v>26</v>
      </c>
      <c r="AL10" s="13">
        <v>24</v>
      </c>
      <c r="AM10" s="13">
        <v>21</v>
      </c>
      <c r="AN10" s="13">
        <v>18</v>
      </c>
      <c r="AO10" s="13">
        <v>20</v>
      </c>
      <c r="AP10" s="13">
        <v>16</v>
      </c>
      <c r="AQ10" s="13">
        <v>16</v>
      </c>
      <c r="AR10" s="13">
        <v>13</v>
      </c>
      <c r="AS10" s="13">
        <v>13</v>
      </c>
      <c r="AT10" s="13">
        <v>14</v>
      </c>
      <c r="AU10" s="13">
        <v>13</v>
      </c>
      <c r="AV10" s="13">
        <v>10</v>
      </c>
      <c r="AW10" s="13">
        <v>9</v>
      </c>
      <c r="AX10" s="13">
        <v>10</v>
      </c>
      <c r="AY10" s="13">
        <v>9</v>
      </c>
      <c r="AZ10" s="13">
        <v>6</v>
      </c>
      <c r="BA10" s="13">
        <v>6</v>
      </c>
      <c r="BB10" s="13">
        <v>3</v>
      </c>
      <c r="BC10" s="13">
        <v>5</v>
      </c>
      <c r="BD10" s="13">
        <v>4</v>
      </c>
      <c r="BE10" s="13">
        <v>4</v>
      </c>
      <c r="BF10" s="13">
        <v>6</v>
      </c>
      <c r="BG10" s="13">
        <v>6</v>
      </c>
      <c r="BH10" s="13">
        <v>5</v>
      </c>
      <c r="BI10" s="13">
        <v>4</v>
      </c>
      <c r="BJ10" s="13">
        <v>4</v>
      </c>
      <c r="BK10" s="13">
        <v>5</v>
      </c>
      <c r="BL10" s="13">
        <v>7</v>
      </c>
      <c r="BM10" s="13">
        <v>8</v>
      </c>
      <c r="BN10" s="13">
        <v>7</v>
      </c>
      <c r="BO10" s="13">
        <v>8</v>
      </c>
      <c r="BP10" s="13">
        <v>7</v>
      </c>
      <c r="BQ10" s="13">
        <v>7</v>
      </c>
      <c r="BR10" s="13">
        <v>6</v>
      </c>
      <c r="BS10" s="13">
        <v>5</v>
      </c>
      <c r="BT10" s="13">
        <v>5</v>
      </c>
      <c r="BU10" s="13">
        <v>5</v>
      </c>
      <c r="BV10" s="13">
        <v>5</v>
      </c>
      <c r="BW10" s="13">
        <v>6</v>
      </c>
      <c r="BX10" s="13">
        <v>6</v>
      </c>
      <c r="BY10" s="13">
        <v>6</v>
      </c>
      <c r="BZ10" s="13">
        <v>6</v>
      </c>
      <c r="CA10" s="13">
        <v>5</v>
      </c>
      <c r="CB10" s="13">
        <v>6</v>
      </c>
      <c r="CC10" s="13">
        <v>8</v>
      </c>
      <c r="CD10" s="13">
        <v>8</v>
      </c>
      <c r="CE10" s="13">
        <v>7</v>
      </c>
      <c r="CF10" s="13">
        <v>8</v>
      </c>
      <c r="CG10" s="13">
        <v>8</v>
      </c>
      <c r="CH10" s="13">
        <v>8</v>
      </c>
      <c r="CI10" s="13">
        <v>7</v>
      </c>
      <c r="CJ10" s="13">
        <v>6</v>
      </c>
      <c r="CK10" s="13">
        <v>6</v>
      </c>
      <c r="CL10" s="13">
        <v>6</v>
      </c>
      <c r="CM10" s="13">
        <v>5</v>
      </c>
      <c r="CN10" s="13">
        <v>1</v>
      </c>
      <c r="CO10" s="13">
        <v>1</v>
      </c>
      <c r="CP10" s="13">
        <v>1</v>
      </c>
      <c r="CQ10" s="13">
        <v>3</v>
      </c>
      <c r="CR10" s="13">
        <v>4</v>
      </c>
      <c r="CS10" s="13">
        <v>4</v>
      </c>
      <c r="CT10" s="13">
        <v>4</v>
      </c>
      <c r="CU10" s="13">
        <v>3</v>
      </c>
      <c r="CV10" s="13">
        <v>3</v>
      </c>
      <c r="CW10" s="13">
        <v>3</v>
      </c>
      <c r="CX10" s="13">
        <v>6</v>
      </c>
      <c r="CY10" s="13">
        <v>6</v>
      </c>
      <c r="CZ10" s="13">
        <v>8</v>
      </c>
      <c r="DA10" s="13">
        <v>7</v>
      </c>
      <c r="DB10" s="13">
        <v>8</v>
      </c>
      <c r="DC10" s="13">
        <v>9</v>
      </c>
      <c r="DD10" s="13">
        <v>9</v>
      </c>
      <c r="DE10" s="13">
        <v>9</v>
      </c>
      <c r="DF10" s="13">
        <v>9</v>
      </c>
      <c r="DG10" s="13">
        <v>12</v>
      </c>
      <c r="DH10" s="13">
        <v>9</v>
      </c>
      <c r="DI10" s="13">
        <v>9</v>
      </c>
      <c r="DJ10" s="13">
        <v>7</v>
      </c>
      <c r="DK10" s="13">
        <v>7</v>
      </c>
      <c r="DL10" s="13">
        <v>4</v>
      </c>
      <c r="DM10" s="13">
        <v>4</v>
      </c>
      <c r="DN10" s="13">
        <v>4</v>
      </c>
      <c r="DO10" s="13">
        <v>3</v>
      </c>
      <c r="DP10" s="13">
        <v>3</v>
      </c>
      <c r="DQ10" s="13">
        <v>3</v>
      </c>
      <c r="DR10" s="13">
        <v>2</v>
      </c>
      <c r="DS10" s="13">
        <v>3</v>
      </c>
      <c r="DT10" s="13">
        <v>4</v>
      </c>
      <c r="DU10" s="13">
        <v>4</v>
      </c>
      <c r="DV10" s="13">
        <v>5</v>
      </c>
      <c r="DW10" s="13">
        <v>5</v>
      </c>
      <c r="DX10" s="13">
        <v>4</v>
      </c>
      <c r="DY10" s="13">
        <v>4</v>
      </c>
      <c r="DZ10" s="13">
        <v>4</v>
      </c>
      <c r="EA10" s="13">
        <v>1</v>
      </c>
      <c r="EB10" s="13">
        <v>0</v>
      </c>
      <c r="EC10" s="13">
        <v>0</v>
      </c>
      <c r="ED10" s="13">
        <v>1</v>
      </c>
      <c r="EE10" s="13">
        <v>1</v>
      </c>
      <c r="EF10" s="13">
        <v>1</v>
      </c>
      <c r="EG10" s="13">
        <v>1</v>
      </c>
      <c r="EH10" s="13">
        <v>1</v>
      </c>
      <c r="EI10" s="13">
        <v>1</v>
      </c>
      <c r="EJ10" s="13">
        <v>1</v>
      </c>
      <c r="EK10" s="13">
        <v>1</v>
      </c>
      <c r="EL10" s="13">
        <v>1</v>
      </c>
      <c r="EM10" s="13">
        <v>1</v>
      </c>
      <c r="EN10" s="13">
        <v>2</v>
      </c>
      <c r="EO10" s="13">
        <v>3</v>
      </c>
      <c r="EP10" s="13">
        <v>3</v>
      </c>
      <c r="EQ10" s="13">
        <v>3</v>
      </c>
      <c r="ER10" s="13">
        <v>3</v>
      </c>
      <c r="ES10" s="13">
        <v>3</v>
      </c>
      <c r="ET10" s="13">
        <v>3</v>
      </c>
      <c r="EU10" s="13">
        <v>3</v>
      </c>
      <c r="EV10" s="13">
        <v>3</v>
      </c>
      <c r="EW10" s="13">
        <v>2</v>
      </c>
      <c r="EX10" s="13">
        <v>2</v>
      </c>
      <c r="EY10" s="13">
        <v>2</v>
      </c>
      <c r="EZ10" s="13">
        <v>2</v>
      </c>
      <c r="FA10" s="13">
        <v>1</v>
      </c>
      <c r="FB10" s="13">
        <v>0</v>
      </c>
      <c r="FC10" s="13">
        <v>1</v>
      </c>
      <c r="FD10" s="13">
        <v>1</v>
      </c>
      <c r="FE10" s="13">
        <v>1</v>
      </c>
      <c r="FF10" s="13">
        <v>1</v>
      </c>
      <c r="FG10" s="13">
        <v>1</v>
      </c>
      <c r="FH10" s="13">
        <v>2</v>
      </c>
      <c r="FI10" s="13">
        <v>2</v>
      </c>
      <c r="FJ10" s="13">
        <v>2</v>
      </c>
      <c r="FK10" s="13">
        <v>2</v>
      </c>
      <c r="FL10" s="13">
        <v>2</v>
      </c>
      <c r="FM10" s="13">
        <v>2</v>
      </c>
      <c r="FN10" s="13">
        <v>3</v>
      </c>
      <c r="FO10" s="13">
        <v>3</v>
      </c>
      <c r="FP10" s="13">
        <v>3</v>
      </c>
      <c r="FQ10" s="13">
        <v>3</v>
      </c>
      <c r="FR10" s="13">
        <v>4</v>
      </c>
      <c r="FS10" s="13">
        <v>4</v>
      </c>
      <c r="FT10" s="13">
        <v>4</v>
      </c>
      <c r="FU10" s="13">
        <v>4</v>
      </c>
      <c r="FV10" s="13">
        <v>4</v>
      </c>
      <c r="FW10" s="13">
        <v>7</v>
      </c>
      <c r="FX10" s="13">
        <v>10</v>
      </c>
      <c r="FY10" s="13">
        <v>14</v>
      </c>
      <c r="FZ10" s="13">
        <v>16</v>
      </c>
      <c r="GA10" s="13">
        <v>19</v>
      </c>
      <c r="GB10" s="13">
        <v>20</v>
      </c>
      <c r="GC10" s="13">
        <v>24</v>
      </c>
      <c r="GD10" s="13">
        <v>26</v>
      </c>
      <c r="GE10" s="13">
        <v>27</v>
      </c>
      <c r="GF10" s="13">
        <v>30</v>
      </c>
      <c r="GG10" s="13">
        <v>34</v>
      </c>
      <c r="GH10" s="13">
        <v>36</v>
      </c>
      <c r="GI10" s="13">
        <v>39</v>
      </c>
      <c r="GJ10" s="13">
        <v>41</v>
      </c>
      <c r="GK10" s="13">
        <v>40</v>
      </c>
      <c r="GL10" s="13">
        <v>44</v>
      </c>
      <c r="GM10" s="13">
        <v>41</v>
      </c>
      <c r="GN10" s="13">
        <v>43</v>
      </c>
      <c r="GO10" s="13">
        <v>42</v>
      </c>
      <c r="GP10" s="13">
        <v>36</v>
      </c>
      <c r="GQ10" s="13">
        <v>34</v>
      </c>
      <c r="GR10" s="13">
        <v>36</v>
      </c>
      <c r="GS10" s="13">
        <v>36</v>
      </c>
      <c r="GT10" s="13">
        <v>35</v>
      </c>
      <c r="GU10" s="13">
        <v>36</v>
      </c>
      <c r="GV10" s="13">
        <v>39</v>
      </c>
      <c r="GW10" s="13">
        <v>41</v>
      </c>
      <c r="GX10" s="13">
        <v>33</v>
      </c>
      <c r="GY10" s="13">
        <v>25</v>
      </c>
      <c r="GZ10" s="13">
        <v>20</v>
      </c>
      <c r="HA10" s="13">
        <v>21</v>
      </c>
      <c r="HB10" s="13">
        <v>18</v>
      </c>
      <c r="HC10" s="13">
        <v>11</v>
      </c>
      <c r="HD10" s="13">
        <v>12</v>
      </c>
      <c r="HE10" s="13">
        <v>11</v>
      </c>
      <c r="HF10" s="13">
        <v>6</v>
      </c>
      <c r="HG10" s="13">
        <v>7</v>
      </c>
      <c r="HH10" s="13">
        <v>5</v>
      </c>
      <c r="HI10" s="13">
        <v>3</v>
      </c>
      <c r="HJ10" s="13">
        <v>3</v>
      </c>
      <c r="HK10" s="13">
        <v>3</v>
      </c>
      <c r="HL10" s="13">
        <v>3</v>
      </c>
      <c r="HM10" s="13">
        <v>3</v>
      </c>
      <c r="HN10" s="13">
        <v>2</v>
      </c>
      <c r="HO10" s="13">
        <v>3</v>
      </c>
      <c r="HP10" s="13">
        <v>3</v>
      </c>
      <c r="HQ10" s="13">
        <v>3</v>
      </c>
      <c r="HR10" s="13">
        <v>4</v>
      </c>
      <c r="HS10" s="13">
        <v>5</v>
      </c>
      <c r="HT10" s="13">
        <v>6</v>
      </c>
      <c r="HU10" s="13">
        <v>7</v>
      </c>
      <c r="HV10" s="13">
        <v>6</v>
      </c>
      <c r="HW10" s="13">
        <v>6</v>
      </c>
      <c r="HX10" s="13">
        <v>6</v>
      </c>
      <c r="HY10" s="13">
        <v>8</v>
      </c>
      <c r="HZ10" s="13">
        <v>7</v>
      </c>
      <c r="IA10" s="13">
        <v>7</v>
      </c>
      <c r="IB10" s="13">
        <v>7</v>
      </c>
      <c r="IC10" s="13">
        <v>8</v>
      </c>
      <c r="ID10" s="13">
        <v>8</v>
      </c>
      <c r="IE10" s="13">
        <v>8</v>
      </c>
      <c r="IF10" s="13">
        <v>8</v>
      </c>
      <c r="IG10" s="13">
        <v>15</v>
      </c>
      <c r="IH10" s="13">
        <v>12</v>
      </c>
      <c r="II10" s="13">
        <v>13</v>
      </c>
      <c r="IJ10" s="13">
        <v>12</v>
      </c>
      <c r="IK10" s="13">
        <v>15</v>
      </c>
      <c r="IL10" s="13">
        <v>13</v>
      </c>
      <c r="IM10" s="13">
        <v>13</v>
      </c>
      <c r="IN10" s="13">
        <v>9</v>
      </c>
      <c r="IO10" s="13">
        <v>7</v>
      </c>
      <c r="IP10" s="13">
        <v>5</v>
      </c>
      <c r="IQ10" s="13">
        <v>2</v>
      </c>
      <c r="IR10" s="13">
        <v>1</v>
      </c>
      <c r="IS10" s="13">
        <v>0</v>
      </c>
      <c r="IT10" s="13">
        <v>0</v>
      </c>
      <c r="IU10" s="13">
        <v>0</v>
      </c>
      <c r="IV10" s="13">
        <v>0</v>
      </c>
      <c r="IW10" s="13">
        <v>0</v>
      </c>
      <c r="IX10" s="13">
        <v>0</v>
      </c>
      <c r="IY10" s="13">
        <v>0</v>
      </c>
      <c r="IZ10" s="13">
        <v>1</v>
      </c>
      <c r="JA10" s="13">
        <v>1</v>
      </c>
      <c r="JB10" s="13">
        <v>2</v>
      </c>
      <c r="JC10" s="13">
        <v>2</v>
      </c>
      <c r="JD10" s="13">
        <v>3</v>
      </c>
      <c r="JE10" s="13">
        <v>3</v>
      </c>
      <c r="JF10" s="13">
        <v>3</v>
      </c>
      <c r="JG10" s="13">
        <v>3</v>
      </c>
      <c r="JH10" s="13">
        <v>4</v>
      </c>
      <c r="JI10" s="13">
        <v>4</v>
      </c>
      <c r="JJ10" s="13">
        <v>5</v>
      </c>
      <c r="JK10" s="13">
        <v>7</v>
      </c>
      <c r="JL10" s="13">
        <v>7</v>
      </c>
      <c r="JM10" s="13">
        <v>8</v>
      </c>
      <c r="JN10" s="13">
        <v>9</v>
      </c>
      <c r="JO10" s="13">
        <v>8</v>
      </c>
      <c r="JP10" s="13">
        <v>8</v>
      </c>
      <c r="JQ10" s="13">
        <v>9</v>
      </c>
      <c r="JR10" s="13">
        <v>10</v>
      </c>
      <c r="JS10" s="13">
        <v>8</v>
      </c>
      <c r="JT10" s="13">
        <v>10</v>
      </c>
      <c r="JU10" s="13">
        <v>11</v>
      </c>
      <c r="JV10" s="13">
        <v>11</v>
      </c>
      <c r="JW10" s="13">
        <v>9</v>
      </c>
      <c r="JX10" s="13">
        <v>10</v>
      </c>
      <c r="JY10" s="13">
        <v>10</v>
      </c>
      <c r="JZ10" s="13">
        <v>9</v>
      </c>
      <c r="KA10" s="13">
        <v>13</v>
      </c>
      <c r="KB10" s="13">
        <v>15</v>
      </c>
      <c r="KC10" s="13">
        <v>18</v>
      </c>
      <c r="KD10" s="13">
        <v>23</v>
      </c>
      <c r="KE10" s="13">
        <v>26</v>
      </c>
      <c r="KF10" s="13">
        <v>29</v>
      </c>
      <c r="KG10" s="13">
        <v>33</v>
      </c>
      <c r="KH10" s="13">
        <v>34</v>
      </c>
      <c r="KI10" s="13">
        <v>37</v>
      </c>
      <c r="KJ10" s="13">
        <v>38</v>
      </c>
      <c r="KK10" s="13">
        <v>41</v>
      </c>
      <c r="KL10" s="13">
        <v>50</v>
      </c>
      <c r="KM10" s="13">
        <v>50</v>
      </c>
      <c r="KN10" s="13">
        <v>52</v>
      </c>
      <c r="KO10" s="13">
        <v>51</v>
      </c>
      <c r="KP10" s="13">
        <v>49</v>
      </c>
      <c r="KQ10" s="13">
        <v>57</v>
      </c>
      <c r="KR10" s="13">
        <v>63</v>
      </c>
      <c r="KS10" s="13">
        <v>78</v>
      </c>
      <c r="KT10" s="13">
        <v>82</v>
      </c>
      <c r="KU10" s="13">
        <v>81</v>
      </c>
      <c r="KV10" s="13">
        <v>85</v>
      </c>
      <c r="KW10" s="13">
        <v>85</v>
      </c>
      <c r="KX10" s="13">
        <v>89</v>
      </c>
      <c r="KY10" s="13">
        <v>95</v>
      </c>
      <c r="KZ10" s="13">
        <v>113</v>
      </c>
      <c r="LA10" s="13">
        <v>116</v>
      </c>
      <c r="LB10" s="13">
        <v>121</v>
      </c>
      <c r="LC10" s="13">
        <v>139</v>
      </c>
      <c r="LD10" s="13">
        <v>141</v>
      </c>
      <c r="LE10" s="13">
        <v>144</v>
      </c>
      <c r="LF10" s="13">
        <v>176</v>
      </c>
      <c r="LG10" s="13">
        <v>189</v>
      </c>
      <c r="LH10" s="13">
        <v>211</v>
      </c>
      <c r="LI10" s="13">
        <v>265</v>
      </c>
      <c r="LJ10" s="13">
        <v>295</v>
      </c>
      <c r="LK10" s="13">
        <v>331</v>
      </c>
      <c r="LL10" s="13">
        <v>379</v>
      </c>
      <c r="LM10" s="13">
        <v>429</v>
      </c>
      <c r="LN10" s="13">
        <v>466</v>
      </c>
      <c r="LO10" s="13">
        <v>528</v>
      </c>
      <c r="LP10" s="13">
        <v>633</v>
      </c>
      <c r="LQ10" s="13">
        <v>742</v>
      </c>
      <c r="LR10" s="13">
        <v>921</v>
      </c>
      <c r="LS10" s="13">
        <v>1034</v>
      </c>
      <c r="LT10" s="13">
        <v>1235</v>
      </c>
      <c r="LU10" s="13">
        <v>1399</v>
      </c>
      <c r="LV10" s="13">
        <v>1573</v>
      </c>
      <c r="LW10" s="13">
        <v>1749</v>
      </c>
      <c r="LX10" s="13">
        <v>1845</v>
      </c>
      <c r="LY10" s="13">
        <v>1963</v>
      </c>
      <c r="LZ10" s="13">
        <v>2136</v>
      </c>
      <c r="MA10" s="13">
        <v>2314</v>
      </c>
      <c r="MB10" s="13">
        <v>2622</v>
      </c>
      <c r="MC10" s="13">
        <v>2830</v>
      </c>
      <c r="MD10" s="13">
        <v>3032</v>
      </c>
      <c r="ME10" s="13">
        <v>3226</v>
      </c>
      <c r="MF10" s="13">
        <v>3610</v>
      </c>
      <c r="MG10" s="13">
        <v>4020</v>
      </c>
      <c r="MH10" s="13">
        <v>4257</v>
      </c>
      <c r="MI10" s="13">
        <v>4492</v>
      </c>
      <c r="MJ10" s="13">
        <v>4794</v>
      </c>
      <c r="MK10" s="13">
        <v>5111</v>
      </c>
      <c r="ML10" s="13">
        <v>5264</v>
      </c>
      <c r="MM10" s="13">
        <v>5489</v>
      </c>
      <c r="MN10" s="13">
        <v>5737</v>
      </c>
      <c r="MO10" s="13">
        <v>5952</v>
      </c>
      <c r="MP10" s="13">
        <v>6416</v>
      </c>
      <c r="MQ10" s="13">
        <v>6806</v>
      </c>
      <c r="MR10" s="13">
        <v>7110</v>
      </c>
      <c r="MS10" s="13">
        <v>7365</v>
      </c>
      <c r="MT10" s="13">
        <v>7664</v>
      </c>
      <c r="MU10" s="13">
        <v>7952</v>
      </c>
      <c r="MV10" s="13">
        <v>8346</v>
      </c>
      <c r="MW10" s="13">
        <v>8752</v>
      </c>
      <c r="MX10" s="13">
        <v>9126</v>
      </c>
      <c r="MY10" s="13">
        <v>9915</v>
      </c>
      <c r="MZ10" s="13">
        <v>10968</v>
      </c>
      <c r="NA10" s="13">
        <v>11477</v>
      </c>
      <c r="NB10" s="13">
        <v>11633</v>
      </c>
      <c r="NC10" s="13">
        <v>11864</v>
      </c>
      <c r="ND10" s="13">
        <v>11977</v>
      </c>
      <c r="NE10" s="13">
        <v>11741</v>
      </c>
      <c r="NF10" s="13">
        <v>10644</v>
      </c>
      <c r="NG10" s="13">
        <v>11272</v>
      </c>
      <c r="NH10" s="13">
        <v>11053</v>
      </c>
      <c r="NI10" s="11">
        <v>10204</v>
      </c>
      <c r="NJ10" s="11">
        <v>8030</v>
      </c>
      <c r="NK10" s="13">
        <v>8204</v>
      </c>
      <c r="NL10" s="13">
        <v>7333</v>
      </c>
      <c r="NM10" s="11">
        <v>6484</v>
      </c>
      <c r="NN10" s="11">
        <v>6188</v>
      </c>
      <c r="NO10" s="11">
        <v>6101</v>
      </c>
      <c r="NP10" s="11">
        <v>4821</v>
      </c>
      <c r="NQ10" s="11">
        <v>3859</v>
      </c>
      <c r="NR10" s="11">
        <v>3219</v>
      </c>
      <c r="NS10" s="11">
        <v>2788</v>
      </c>
      <c r="NT10" s="11">
        <v>2296</v>
      </c>
      <c r="NU10" s="11">
        <v>2110</v>
      </c>
      <c r="NV10" s="11">
        <v>1795</v>
      </c>
      <c r="NW10" s="11">
        <v>1527</v>
      </c>
      <c r="NX10" s="11">
        <v>1370</v>
      </c>
      <c r="NY10" s="11">
        <v>1239</v>
      </c>
      <c r="NZ10" s="11">
        <v>976</v>
      </c>
      <c r="OA10" s="11">
        <v>461</v>
      </c>
      <c r="OB10" s="11">
        <v>324</v>
      </c>
      <c r="OC10" s="11">
        <v>237</v>
      </c>
      <c r="OD10" s="11">
        <v>177</v>
      </c>
      <c r="OE10" s="11">
        <v>95</v>
      </c>
    </row>
    <row r="11" spans="1:397">
      <c r="A11" s="13" t="s">
        <v>110</v>
      </c>
      <c r="B11" s="13"/>
      <c r="C11" s="13"/>
      <c r="D11" s="13"/>
      <c r="E11" s="13"/>
      <c r="F11" s="13"/>
      <c r="G11" s="13"/>
      <c r="H11" s="13"/>
      <c r="I11" s="13"/>
      <c r="J11" s="13"/>
      <c r="L11" s="13"/>
      <c r="M11" s="13"/>
      <c r="N11" s="13"/>
      <c r="O11" s="16">
        <f t="shared" ref="O11:AI11" si="8">O10/O9</f>
        <v>2.1862348178137651E-2</v>
      </c>
      <c r="P11" s="16">
        <f t="shared" si="8"/>
        <v>2.7607361963190184E-2</v>
      </c>
      <c r="Q11" s="16">
        <f t="shared" si="8"/>
        <v>3.4727143869596029E-2</v>
      </c>
      <c r="R11" s="16">
        <f t="shared" si="8"/>
        <v>4.3535620052770452E-2</v>
      </c>
      <c r="S11" s="16">
        <f t="shared" si="8"/>
        <v>4.5512010113780026E-2</v>
      </c>
      <c r="T11" s="16">
        <f t="shared" si="8"/>
        <v>4.2131350681536554E-2</v>
      </c>
      <c r="U11" s="16">
        <f t="shared" si="8"/>
        <v>4.5563549160671464E-2</v>
      </c>
      <c r="V11" s="16">
        <f t="shared" si="8"/>
        <v>4.5587375803623612E-2</v>
      </c>
      <c r="W11" s="16">
        <f t="shared" si="8"/>
        <v>5.4938956714761379E-2</v>
      </c>
      <c r="X11" s="16">
        <f t="shared" si="8"/>
        <v>5.7692307692307696E-2</v>
      </c>
      <c r="Y11" s="16">
        <f t="shared" si="8"/>
        <v>5.9613319011815255E-2</v>
      </c>
      <c r="Z11" s="16">
        <f t="shared" si="8"/>
        <v>5.8355437665782495E-2</v>
      </c>
      <c r="AA11" s="16">
        <f t="shared" si="8"/>
        <v>5.8918918918918921E-2</v>
      </c>
      <c r="AB11" s="16">
        <f t="shared" si="8"/>
        <v>5.2222222222222225E-2</v>
      </c>
      <c r="AC11" s="16">
        <f t="shared" si="8"/>
        <v>4.8571428571428571E-2</v>
      </c>
      <c r="AD11" s="16">
        <f t="shared" si="8"/>
        <v>4.778972520908005E-2</v>
      </c>
      <c r="AE11" s="16">
        <f t="shared" si="8"/>
        <v>4.2553191489361701E-2</v>
      </c>
      <c r="AF11" s="16">
        <f t="shared" si="8"/>
        <v>4.2090970807875085E-2</v>
      </c>
      <c r="AG11" s="16">
        <f t="shared" si="8"/>
        <v>4.3979812545061281E-2</v>
      </c>
      <c r="AH11" s="16">
        <f t="shared" si="8"/>
        <v>3.3051498847040735E-2</v>
      </c>
      <c r="AI11" s="16">
        <f t="shared" si="8"/>
        <v>3.4854771784232366E-2</v>
      </c>
      <c r="AJ11" s="16">
        <f>AJ10/AJ9</f>
        <v>3.4141958670260555E-2</v>
      </c>
      <c r="AK11" s="16">
        <f>AK10/AK9</f>
        <v>2.5974025974025976E-2</v>
      </c>
      <c r="AL11" s="16">
        <f t="shared" ref="AL11:CY11" si="9">AL10/AL9</f>
        <v>2.7118644067796609E-2</v>
      </c>
      <c r="AM11" s="16">
        <f>AM10/AM9</f>
        <v>2.6785714285714284E-2</v>
      </c>
      <c r="AN11" s="16">
        <f t="shared" si="9"/>
        <v>2.5824964131994262E-2</v>
      </c>
      <c r="AO11" s="16">
        <f t="shared" si="9"/>
        <v>2.9717682020802376E-2</v>
      </c>
      <c r="AP11" s="16">
        <f t="shared" si="9"/>
        <v>2.7210884353741496E-2</v>
      </c>
      <c r="AQ11" s="16">
        <f t="shared" si="9"/>
        <v>2.9906542056074768E-2</v>
      </c>
      <c r="AR11" s="16">
        <f t="shared" si="9"/>
        <v>2.4952015355086371E-2</v>
      </c>
      <c r="AS11" s="16">
        <f t="shared" si="9"/>
        <v>2.6804123711340205E-2</v>
      </c>
      <c r="AT11" s="16">
        <f t="shared" si="9"/>
        <v>3.160270880361174E-2</v>
      </c>
      <c r="AU11" s="16">
        <f t="shared" si="9"/>
        <v>3.0092592592592591E-2</v>
      </c>
      <c r="AV11" s="16">
        <f t="shared" si="9"/>
        <v>2.4330900243309004E-2</v>
      </c>
      <c r="AW11" s="16">
        <f t="shared" si="9"/>
        <v>2.2784810126582278E-2</v>
      </c>
      <c r="AX11" s="16">
        <f t="shared" si="9"/>
        <v>2.6109660574412531E-2</v>
      </c>
      <c r="AY11" s="16">
        <f t="shared" si="9"/>
        <v>2.4324324324324326E-2</v>
      </c>
      <c r="AZ11" s="16">
        <f t="shared" si="9"/>
        <v>1.6304347826086956E-2</v>
      </c>
      <c r="BA11" s="16">
        <f t="shared" si="9"/>
        <v>1.6853932584269662E-2</v>
      </c>
      <c r="BB11" s="16">
        <f t="shared" si="9"/>
        <v>8.6206896551724137E-3</v>
      </c>
      <c r="BC11" s="16">
        <f t="shared" si="9"/>
        <v>1.4749262536873156E-2</v>
      </c>
      <c r="BD11" s="16">
        <f t="shared" si="9"/>
        <v>1.1976047904191617E-2</v>
      </c>
      <c r="BE11" s="16">
        <f t="shared" si="9"/>
        <v>1.2195121951219513E-2</v>
      </c>
      <c r="BF11" s="16">
        <f t="shared" si="9"/>
        <v>1.8749999999999999E-2</v>
      </c>
      <c r="BG11" s="16">
        <f t="shared" si="9"/>
        <v>1.9047619047619049E-2</v>
      </c>
      <c r="BH11" s="16">
        <f t="shared" si="9"/>
        <v>1.5625E-2</v>
      </c>
      <c r="BI11" s="16">
        <f t="shared" si="9"/>
        <v>1.2345679012345678E-2</v>
      </c>
      <c r="BJ11" s="16">
        <f t="shared" si="9"/>
        <v>1.2578616352201259E-2</v>
      </c>
      <c r="BK11" s="16">
        <f t="shared" si="9"/>
        <v>1.6181229773462782E-2</v>
      </c>
      <c r="BL11" s="16">
        <f t="shared" si="9"/>
        <v>2.2801302931596091E-2</v>
      </c>
      <c r="BM11" s="16">
        <f t="shared" si="9"/>
        <v>2.6315789473684209E-2</v>
      </c>
      <c r="BN11" s="16">
        <f t="shared" si="9"/>
        <v>2.3255813953488372E-2</v>
      </c>
      <c r="BO11" s="16">
        <f t="shared" si="9"/>
        <v>2.5396825396825397E-2</v>
      </c>
      <c r="BP11" s="16">
        <f t="shared" si="9"/>
        <v>2.2435897435897436E-2</v>
      </c>
      <c r="BQ11" s="16">
        <f t="shared" si="9"/>
        <v>2.2364217252396165E-2</v>
      </c>
      <c r="BR11" s="16">
        <f t="shared" si="9"/>
        <v>1.9607843137254902E-2</v>
      </c>
      <c r="BS11" s="16">
        <f t="shared" si="9"/>
        <v>1.7064846416382253E-2</v>
      </c>
      <c r="BT11" s="16">
        <f t="shared" si="9"/>
        <v>1.7123287671232876E-2</v>
      </c>
      <c r="BU11" s="16">
        <f t="shared" si="9"/>
        <v>1.7543859649122806E-2</v>
      </c>
      <c r="BV11" s="16">
        <f t="shared" si="9"/>
        <v>1.7605633802816902E-2</v>
      </c>
      <c r="BW11" s="16">
        <f t="shared" si="9"/>
        <v>2.1428571428571429E-2</v>
      </c>
      <c r="BX11" s="16">
        <f t="shared" si="9"/>
        <v>2.1352313167259787E-2</v>
      </c>
      <c r="BY11" s="16">
        <f t="shared" si="9"/>
        <v>2.1505376344086023E-2</v>
      </c>
      <c r="BZ11" s="16">
        <f t="shared" si="9"/>
        <v>2.197802197802198E-2</v>
      </c>
      <c r="CA11" s="16">
        <f t="shared" si="9"/>
        <v>1.8450184501845018E-2</v>
      </c>
      <c r="CB11" s="16">
        <f t="shared" si="9"/>
        <v>2.2556390977443608E-2</v>
      </c>
      <c r="CC11" s="16">
        <f t="shared" si="9"/>
        <v>2.9850746268656716E-2</v>
      </c>
      <c r="CD11" s="16">
        <f t="shared" si="9"/>
        <v>2.8880866425992781E-2</v>
      </c>
      <c r="CE11" s="16">
        <f t="shared" si="9"/>
        <v>2.5270758122743681E-2</v>
      </c>
      <c r="CF11" s="16">
        <f t="shared" si="9"/>
        <v>2.8571428571428571E-2</v>
      </c>
      <c r="CG11" s="16">
        <f t="shared" si="9"/>
        <v>2.8070175438596492E-2</v>
      </c>
      <c r="CH11" s="16">
        <f t="shared" si="9"/>
        <v>2.6402640264026403E-2</v>
      </c>
      <c r="CI11" s="16">
        <f t="shared" si="9"/>
        <v>2.2875816993464051E-2</v>
      </c>
      <c r="CJ11" s="16">
        <f t="shared" si="9"/>
        <v>1.9672131147540985E-2</v>
      </c>
      <c r="CK11" s="16">
        <f t="shared" si="9"/>
        <v>1.8633540372670808E-2</v>
      </c>
      <c r="CL11" s="16">
        <f t="shared" si="9"/>
        <v>1.9047619047619049E-2</v>
      </c>
      <c r="CM11" s="16">
        <f t="shared" si="9"/>
        <v>1.5822784810126583E-2</v>
      </c>
      <c r="CN11" s="16">
        <f t="shared" si="9"/>
        <v>3.246753246753247E-3</v>
      </c>
      <c r="CO11" s="16">
        <f t="shared" si="9"/>
        <v>3.2154340836012861E-3</v>
      </c>
      <c r="CP11" s="16">
        <f t="shared" si="9"/>
        <v>3.1847133757961785E-3</v>
      </c>
      <c r="CQ11" s="16">
        <f t="shared" si="9"/>
        <v>9.2592592592592587E-3</v>
      </c>
      <c r="CR11" s="16">
        <f t="shared" si="9"/>
        <v>0.5714285714285714</v>
      </c>
      <c r="CS11" s="16">
        <f t="shared" si="9"/>
        <v>1.06951871657754E-2</v>
      </c>
      <c r="CT11" s="16">
        <f t="shared" si="9"/>
        <v>1.038961038961039E-2</v>
      </c>
      <c r="CU11" s="16">
        <f t="shared" si="9"/>
        <v>7.7319587628865982E-3</v>
      </c>
      <c r="CV11" s="16">
        <f t="shared" si="9"/>
        <v>7.6142131979695434E-3</v>
      </c>
      <c r="CW11" s="16">
        <f t="shared" si="9"/>
        <v>7.2639225181598066E-3</v>
      </c>
      <c r="CX11" s="16">
        <f t="shared" si="9"/>
        <v>1.4218009478672985E-2</v>
      </c>
      <c r="CY11" s="16">
        <f t="shared" si="9"/>
        <v>1.4084507042253521E-2</v>
      </c>
      <c r="CZ11" s="16">
        <f t="shared" ref="CZ11:FK11" si="10">CZ10/CZ9</f>
        <v>1.8867924528301886E-2</v>
      </c>
      <c r="DA11" s="16">
        <f t="shared" si="10"/>
        <v>1.7073170731707318E-2</v>
      </c>
      <c r="DB11" s="16">
        <f t="shared" si="10"/>
        <v>1.9093078758949882E-2</v>
      </c>
      <c r="DC11" s="16">
        <f t="shared" si="10"/>
        <v>2.1479713603818614E-2</v>
      </c>
      <c r="DD11" s="16">
        <f t="shared" si="10"/>
        <v>2.2499999999999999E-2</v>
      </c>
      <c r="DE11" s="16">
        <f t="shared" si="10"/>
        <v>2.2959183673469389E-2</v>
      </c>
      <c r="DF11" s="16">
        <f t="shared" si="10"/>
        <v>2.3017902813299233E-2</v>
      </c>
      <c r="DG11" s="16">
        <f t="shared" si="10"/>
        <v>3.3057851239669422E-2</v>
      </c>
      <c r="DH11" s="16">
        <f t="shared" si="10"/>
        <v>2.5069637883008356E-2</v>
      </c>
      <c r="DI11" s="16">
        <f t="shared" si="10"/>
        <v>2.5352112676056339E-2</v>
      </c>
      <c r="DJ11" s="16">
        <f t="shared" si="10"/>
        <v>2.0648967551622419E-2</v>
      </c>
      <c r="DK11" s="16">
        <f t="shared" si="10"/>
        <v>2.0710059171597635E-2</v>
      </c>
      <c r="DL11" s="16">
        <f t="shared" si="10"/>
        <v>1.3422818791946308E-2</v>
      </c>
      <c r="DM11" s="16">
        <f t="shared" si="10"/>
        <v>1.5151515151515152E-2</v>
      </c>
      <c r="DN11" s="16">
        <f t="shared" si="10"/>
        <v>1.509433962264151E-2</v>
      </c>
      <c r="DO11" s="16">
        <f t="shared" si="10"/>
        <v>1.1320754716981131E-2</v>
      </c>
      <c r="DP11" s="16">
        <f t="shared" si="10"/>
        <v>1.1320754716981131E-2</v>
      </c>
      <c r="DQ11" s="16">
        <f t="shared" si="10"/>
        <v>1.2096774193548387E-2</v>
      </c>
      <c r="DR11" s="16">
        <f t="shared" si="10"/>
        <v>8.1632653061224497E-3</v>
      </c>
      <c r="DS11" s="16">
        <f t="shared" si="10"/>
        <v>1.2145748987854251E-2</v>
      </c>
      <c r="DT11" s="16">
        <f t="shared" si="10"/>
        <v>1.5503875968992248E-2</v>
      </c>
      <c r="DU11" s="16">
        <f t="shared" si="10"/>
        <v>1.6064257028112448E-2</v>
      </c>
      <c r="DV11" s="16">
        <f t="shared" si="10"/>
        <v>1.984126984126984E-2</v>
      </c>
      <c r="DW11" s="16">
        <f t="shared" si="10"/>
        <v>1.9305019305019305E-2</v>
      </c>
      <c r="DX11" s="16">
        <f t="shared" si="10"/>
        <v>1.5810276679841896E-2</v>
      </c>
      <c r="DY11" s="16">
        <f t="shared" si="10"/>
        <v>1.6666666666666666E-2</v>
      </c>
      <c r="DZ11" s="16">
        <f t="shared" si="10"/>
        <v>1.6597510373443983E-2</v>
      </c>
      <c r="EA11" s="16">
        <f t="shared" si="10"/>
        <v>4.5045045045045045E-3</v>
      </c>
      <c r="EB11" s="16">
        <f t="shared" si="10"/>
        <v>0</v>
      </c>
      <c r="EC11" s="16">
        <f t="shared" si="10"/>
        <v>0</v>
      </c>
      <c r="ED11" s="16">
        <f t="shared" si="10"/>
        <v>4.8543689320388345E-3</v>
      </c>
      <c r="EE11" s="16">
        <f t="shared" si="10"/>
        <v>4.8543689320388345E-3</v>
      </c>
      <c r="EF11" s="16">
        <f t="shared" si="10"/>
        <v>5.0000000000000001E-3</v>
      </c>
      <c r="EG11" s="16">
        <f t="shared" si="10"/>
        <v>4.8780487804878049E-3</v>
      </c>
      <c r="EH11" s="16">
        <f t="shared" si="10"/>
        <v>4.6948356807511738E-3</v>
      </c>
      <c r="EI11" s="16">
        <f t="shared" si="10"/>
        <v>4.807692307692308E-3</v>
      </c>
      <c r="EJ11" s="16">
        <f t="shared" si="10"/>
        <v>5.1282051282051282E-3</v>
      </c>
      <c r="EK11" s="16">
        <f t="shared" si="10"/>
        <v>5.2910052910052907E-3</v>
      </c>
      <c r="EL11" s="16">
        <f t="shared" si="10"/>
        <v>5.2910052910052907E-3</v>
      </c>
      <c r="EM11" s="16">
        <f t="shared" si="10"/>
        <v>5.3763440860215058E-3</v>
      </c>
      <c r="EN11" s="16">
        <f t="shared" si="10"/>
        <v>1.0471204188481676E-2</v>
      </c>
      <c r="EO11" s="16">
        <f t="shared" si="10"/>
        <v>1.6304347826086956E-2</v>
      </c>
      <c r="EP11" s="16">
        <f t="shared" si="10"/>
        <v>1.6216216216216217E-2</v>
      </c>
      <c r="EQ11" s="16">
        <f t="shared" si="10"/>
        <v>1.7045454545454544E-2</v>
      </c>
      <c r="ER11" s="16">
        <f t="shared" si="10"/>
        <v>1.7964071856287425E-2</v>
      </c>
      <c r="ES11" s="16">
        <f t="shared" si="10"/>
        <v>1.8072289156626505E-2</v>
      </c>
      <c r="ET11" s="16">
        <f t="shared" si="10"/>
        <v>1.7964071856287425E-2</v>
      </c>
      <c r="EU11" s="16">
        <f t="shared" si="10"/>
        <v>1.7857142857142856E-2</v>
      </c>
      <c r="EV11" s="16">
        <f t="shared" si="10"/>
        <v>1.8072289156626505E-2</v>
      </c>
      <c r="EW11" s="16">
        <f t="shared" si="10"/>
        <v>1.1560693641618497E-2</v>
      </c>
      <c r="EX11" s="16">
        <f t="shared" si="10"/>
        <v>1.1904761904761904E-2</v>
      </c>
      <c r="EY11" s="16">
        <f t="shared" si="10"/>
        <v>1.1695906432748537E-2</v>
      </c>
      <c r="EZ11" s="16">
        <f t="shared" si="10"/>
        <v>1.2121212121212121E-2</v>
      </c>
      <c r="FA11" s="16">
        <f t="shared" si="10"/>
        <v>7.0921985815602835E-3</v>
      </c>
      <c r="FB11" s="16">
        <f t="shared" si="10"/>
        <v>0</v>
      </c>
      <c r="FC11" s="16">
        <f t="shared" si="10"/>
        <v>7.0422535211267607E-3</v>
      </c>
      <c r="FD11" s="16">
        <f t="shared" si="10"/>
        <v>6.8965517241379309E-3</v>
      </c>
      <c r="FE11" s="16">
        <f t="shared" si="10"/>
        <v>6.6225165562913907E-3</v>
      </c>
      <c r="FF11" s="16">
        <f t="shared" si="10"/>
        <v>6.4935064935064939E-3</v>
      </c>
      <c r="FG11" s="16">
        <f t="shared" si="10"/>
        <v>6.369426751592357E-3</v>
      </c>
      <c r="FH11" s="16">
        <f t="shared" si="10"/>
        <v>1.2422360248447204E-2</v>
      </c>
      <c r="FI11" s="16">
        <f t="shared" si="10"/>
        <v>1.2121212121212121E-2</v>
      </c>
      <c r="FJ11" s="16">
        <f t="shared" si="10"/>
        <v>1.1428571428571429E-2</v>
      </c>
      <c r="FK11" s="16">
        <f t="shared" si="10"/>
        <v>1.1111111111111112E-2</v>
      </c>
      <c r="FL11" s="16">
        <f t="shared" ref="FL11:FW11" si="11">FL10/FL9</f>
        <v>1.0752688172043012E-2</v>
      </c>
      <c r="FM11" s="16">
        <f t="shared" si="11"/>
        <v>1.0309278350515464E-2</v>
      </c>
      <c r="FN11" s="16">
        <f t="shared" si="11"/>
        <v>1.4634146341463415E-2</v>
      </c>
      <c r="FO11" s="16">
        <f t="shared" si="11"/>
        <v>1.5625E-2</v>
      </c>
      <c r="FP11" s="16">
        <f t="shared" si="11"/>
        <v>1.5151515151515152E-2</v>
      </c>
      <c r="FQ11" s="16">
        <f t="shared" si="11"/>
        <v>1.3888888888888888E-2</v>
      </c>
      <c r="FR11" s="16">
        <f t="shared" si="11"/>
        <v>1.6877637130801686E-2</v>
      </c>
      <c r="FS11" s="16">
        <f t="shared" si="11"/>
        <v>1.6393442622950821E-2</v>
      </c>
      <c r="FT11" s="16">
        <f t="shared" si="11"/>
        <v>1.5267175572519083E-2</v>
      </c>
      <c r="FU11" s="16">
        <f t="shared" si="11"/>
        <v>1.3888888888888888E-2</v>
      </c>
      <c r="FV11" s="16">
        <f t="shared" si="11"/>
        <v>1.2345679012345678E-2</v>
      </c>
      <c r="FW11" s="16">
        <f t="shared" si="11"/>
        <v>2.0172910662824207E-2</v>
      </c>
      <c r="FX11" s="16">
        <f t="shared" ref="FX11:GN11" si="12">FX10/FX9</f>
        <v>2.5906735751295335E-2</v>
      </c>
      <c r="FY11" s="16">
        <f t="shared" si="12"/>
        <v>3.4313725490196081E-2</v>
      </c>
      <c r="FZ11" s="16">
        <f t="shared" si="12"/>
        <v>3.7914691943127965E-2</v>
      </c>
      <c r="GA11" s="16">
        <f t="shared" si="12"/>
        <v>4.185022026431718E-2</v>
      </c>
      <c r="GB11" s="16">
        <f t="shared" si="12"/>
        <v>4.0733197556008148E-2</v>
      </c>
      <c r="GC11" s="16">
        <f t="shared" si="12"/>
        <v>4.6511627906976744E-2</v>
      </c>
      <c r="GD11" s="16">
        <f t="shared" si="12"/>
        <v>4.5694200351493852E-2</v>
      </c>
      <c r="GE11" s="16">
        <f t="shared" si="12"/>
        <v>4.53781512605042E-2</v>
      </c>
      <c r="GF11" s="16">
        <f t="shared" si="12"/>
        <v>4.9019607843137254E-2</v>
      </c>
      <c r="GG11" s="16">
        <f t="shared" si="12"/>
        <v>5.5016181229773461E-2</v>
      </c>
      <c r="GH11" s="16">
        <f t="shared" si="12"/>
        <v>5.4961832061068701E-2</v>
      </c>
      <c r="GI11" s="16">
        <f t="shared" si="12"/>
        <v>5.6521739130434782E-2</v>
      </c>
      <c r="GJ11" s="16">
        <f t="shared" si="12"/>
        <v>5.6629834254143648E-2</v>
      </c>
      <c r="GK11" s="16">
        <f t="shared" si="12"/>
        <v>5.2562417871222074E-2</v>
      </c>
      <c r="GL11" s="16">
        <f t="shared" si="12"/>
        <v>5.5415617128463476E-2</v>
      </c>
      <c r="GM11" s="16">
        <f t="shared" si="12"/>
        <v>5.1122194513715712E-2</v>
      </c>
      <c r="GN11" s="16">
        <f t="shared" si="12"/>
        <v>5.2631578947368418E-2</v>
      </c>
      <c r="GO11" s="16">
        <f t="shared" ref="GO11:GT11" si="13">GO10/GO9</f>
        <v>5.0059594755661505E-2</v>
      </c>
      <c r="GP11" s="16">
        <f t="shared" si="13"/>
        <v>4.2704626334519574E-2</v>
      </c>
      <c r="GQ11" s="16">
        <f t="shared" si="13"/>
        <v>4.0621266427718038E-2</v>
      </c>
      <c r="GR11" s="16">
        <f t="shared" si="13"/>
        <v>4.4444444444444446E-2</v>
      </c>
      <c r="GS11" s="16">
        <f t="shared" si="13"/>
        <v>4.4999999999999998E-2</v>
      </c>
      <c r="GT11" s="16">
        <f t="shared" si="13"/>
        <v>4.4814340588988477E-2</v>
      </c>
      <c r="GU11" s="16">
        <f t="shared" ref="GU11:JF11" si="14">GU10/GU9</f>
        <v>4.8128342245989303E-2</v>
      </c>
      <c r="GV11" s="16">
        <f t="shared" si="14"/>
        <v>5.4621848739495799E-2</v>
      </c>
      <c r="GW11" s="16">
        <f t="shared" si="14"/>
        <v>5.9941520467836254E-2</v>
      </c>
      <c r="GX11" s="16">
        <f t="shared" si="14"/>
        <v>5.7491289198606271E-2</v>
      </c>
      <c r="GY11" s="16">
        <f t="shared" si="14"/>
        <v>5.1867219917012451E-2</v>
      </c>
      <c r="GZ11" s="16">
        <f t="shared" si="14"/>
        <v>5.1150895140664961E-2</v>
      </c>
      <c r="HA11" s="16">
        <f t="shared" si="14"/>
        <v>6.1946902654867256E-2</v>
      </c>
      <c r="HB11" s="16">
        <f t="shared" si="14"/>
        <v>6.25E-2</v>
      </c>
      <c r="HC11" s="16">
        <f t="shared" si="14"/>
        <v>4.2145593869731802E-2</v>
      </c>
      <c r="HD11" s="16">
        <f t="shared" si="14"/>
        <v>4.9382716049382713E-2</v>
      </c>
      <c r="HE11" s="16">
        <f t="shared" si="14"/>
        <v>4.583333333333333E-2</v>
      </c>
      <c r="HF11" s="16">
        <f t="shared" si="14"/>
        <v>2.575107296137339E-2</v>
      </c>
      <c r="HG11" s="16">
        <f t="shared" si="14"/>
        <v>2.8925619834710745E-2</v>
      </c>
      <c r="HH11" s="16">
        <f t="shared" si="14"/>
        <v>2.0080321285140562E-2</v>
      </c>
      <c r="HI11" s="16">
        <f t="shared" si="14"/>
        <v>1.1952191235059761E-2</v>
      </c>
      <c r="HJ11" s="16">
        <f t="shared" si="14"/>
        <v>1.1904761904761904E-2</v>
      </c>
      <c r="HK11" s="16">
        <f t="shared" si="14"/>
        <v>1.1952191235059761E-2</v>
      </c>
      <c r="HL11" s="16">
        <f t="shared" si="14"/>
        <v>1.1583011583011582E-2</v>
      </c>
      <c r="HM11" s="16">
        <f t="shared" si="14"/>
        <v>1.0563380281690141E-2</v>
      </c>
      <c r="HN11" s="16">
        <f t="shared" si="14"/>
        <v>6.7340067340067337E-3</v>
      </c>
      <c r="HO11" s="16">
        <f t="shared" si="14"/>
        <v>9.3749999999999997E-3</v>
      </c>
      <c r="HP11" s="16">
        <f t="shared" si="14"/>
        <v>9.202453987730062E-3</v>
      </c>
      <c r="HQ11" s="16">
        <f t="shared" si="14"/>
        <v>9.0909090909090905E-3</v>
      </c>
      <c r="HR11" s="16">
        <f t="shared" si="14"/>
        <v>1.1695906432748537E-2</v>
      </c>
      <c r="HS11" s="16">
        <f t="shared" si="14"/>
        <v>1.4005602240896359E-2</v>
      </c>
      <c r="HT11" s="16">
        <f t="shared" si="14"/>
        <v>1.5384615384615385E-2</v>
      </c>
      <c r="HU11" s="16">
        <f t="shared" si="14"/>
        <v>1.7369727047146403E-2</v>
      </c>
      <c r="HV11" s="16">
        <f t="shared" si="14"/>
        <v>1.4814814814814815E-2</v>
      </c>
      <c r="HW11" s="16">
        <f t="shared" si="14"/>
        <v>1.488833746898263E-2</v>
      </c>
      <c r="HX11" s="16">
        <f t="shared" si="14"/>
        <v>1.4925373134328358E-2</v>
      </c>
      <c r="HY11" s="16">
        <f t="shared" si="14"/>
        <v>1.9559902200488997E-2</v>
      </c>
      <c r="HZ11" s="16">
        <f t="shared" si="14"/>
        <v>1.6826923076923076E-2</v>
      </c>
      <c r="IA11" s="16">
        <f t="shared" si="14"/>
        <v>1.66270783847981E-2</v>
      </c>
      <c r="IB11" s="16">
        <f t="shared" si="14"/>
        <v>1.6355140186915886E-2</v>
      </c>
      <c r="IC11" s="16">
        <f t="shared" si="14"/>
        <v>1.9138755980861243E-2</v>
      </c>
      <c r="ID11" s="16">
        <f t="shared" si="14"/>
        <v>1.9277108433734941E-2</v>
      </c>
      <c r="IE11" s="16">
        <f t="shared" si="14"/>
        <v>1.9753086419753086E-2</v>
      </c>
      <c r="IF11" s="16">
        <f t="shared" si="14"/>
        <v>2.056555269922879E-2</v>
      </c>
      <c r="IG11" s="16">
        <f t="shared" si="14"/>
        <v>3.9267015706806283E-2</v>
      </c>
      <c r="IH11" s="16">
        <f t="shared" si="14"/>
        <v>3.2608695652173912E-2</v>
      </c>
      <c r="II11" s="16">
        <f t="shared" si="14"/>
        <v>3.6211699164345405E-2</v>
      </c>
      <c r="IJ11" s="16">
        <f t="shared" si="14"/>
        <v>3.4383954154727794E-2</v>
      </c>
      <c r="IK11" s="16">
        <f t="shared" si="14"/>
        <v>4.5317220543806644E-2</v>
      </c>
      <c r="IL11" s="16">
        <f t="shared" si="14"/>
        <v>4.2207792207792208E-2</v>
      </c>
      <c r="IM11" s="16">
        <f t="shared" si="14"/>
        <v>4.4368600682593858E-2</v>
      </c>
      <c r="IN11" s="16">
        <f t="shared" si="14"/>
        <v>3.3962264150943396E-2</v>
      </c>
      <c r="IO11" s="16">
        <f t="shared" si="14"/>
        <v>2.7777777777777776E-2</v>
      </c>
      <c r="IP11" s="16">
        <f t="shared" si="14"/>
        <v>2.3809523809523808E-2</v>
      </c>
      <c r="IQ11" s="16">
        <f t="shared" si="14"/>
        <v>1.1299435028248588E-2</v>
      </c>
      <c r="IR11" s="16">
        <f t="shared" si="14"/>
        <v>7.7519379844961239E-3</v>
      </c>
      <c r="IS11" s="16">
        <f t="shared" si="14"/>
        <v>0</v>
      </c>
      <c r="IT11" s="16">
        <f t="shared" si="14"/>
        <v>0</v>
      </c>
      <c r="IU11" s="16">
        <f t="shared" si="14"/>
        <v>0</v>
      </c>
      <c r="IV11" s="16">
        <f t="shared" si="14"/>
        <v>0</v>
      </c>
      <c r="IW11" s="16">
        <f t="shared" si="14"/>
        <v>0</v>
      </c>
      <c r="IX11" s="16">
        <f t="shared" si="14"/>
        <v>0</v>
      </c>
      <c r="IY11" s="16">
        <f t="shared" si="14"/>
        <v>0</v>
      </c>
      <c r="IZ11" s="16">
        <f t="shared" si="14"/>
        <v>1.4925373134328358E-2</v>
      </c>
      <c r="JA11" s="16">
        <f t="shared" si="14"/>
        <v>1.5151515151515152E-2</v>
      </c>
      <c r="JB11" s="16">
        <f t="shared" si="14"/>
        <v>2.8985507246376812E-2</v>
      </c>
      <c r="JC11" s="16">
        <f t="shared" si="14"/>
        <v>2.7397260273972601E-2</v>
      </c>
      <c r="JD11" s="16">
        <f t="shared" si="14"/>
        <v>4.1095890410958902E-2</v>
      </c>
      <c r="JE11" s="16">
        <f t="shared" si="14"/>
        <v>3.9473684210526314E-2</v>
      </c>
      <c r="JF11" s="16">
        <f t="shared" si="14"/>
        <v>4.7619047619047616E-2</v>
      </c>
      <c r="JG11" s="16">
        <f t="shared" ref="JG11:LR11" si="15">JG10/JG9</f>
        <v>4.7619047619047616E-2</v>
      </c>
      <c r="JH11" s="16">
        <f t="shared" si="15"/>
        <v>5.7142857142857141E-2</v>
      </c>
      <c r="JI11" s="16">
        <f t="shared" si="15"/>
        <v>5.4794520547945202E-2</v>
      </c>
      <c r="JJ11" s="16">
        <f t="shared" si="15"/>
        <v>6.3291139240506333E-2</v>
      </c>
      <c r="JK11" s="16">
        <f t="shared" si="15"/>
        <v>8.6419753086419748E-2</v>
      </c>
      <c r="JL11" s="16">
        <f t="shared" si="15"/>
        <v>8.4337349397590355E-2</v>
      </c>
      <c r="JM11" s="16">
        <f t="shared" si="15"/>
        <v>0.10126582278481013</v>
      </c>
      <c r="JN11" s="16">
        <f t="shared" si="15"/>
        <v>0.11392405063291139</v>
      </c>
      <c r="JO11" s="16">
        <f t="shared" si="15"/>
        <v>9.7560975609756101E-2</v>
      </c>
      <c r="JP11" s="16">
        <f t="shared" si="15"/>
        <v>9.5238095238095233E-2</v>
      </c>
      <c r="JQ11" s="16">
        <f t="shared" si="15"/>
        <v>0.10344827586206896</v>
      </c>
      <c r="JR11" s="16">
        <f t="shared" si="15"/>
        <v>0.11764705882352941</v>
      </c>
      <c r="JS11" s="16">
        <f t="shared" si="15"/>
        <v>9.7560975609756101E-2</v>
      </c>
      <c r="JT11" s="16">
        <f t="shared" si="15"/>
        <v>0.11627906976744186</v>
      </c>
      <c r="JU11" s="16">
        <f t="shared" si="15"/>
        <v>0.12359550561797752</v>
      </c>
      <c r="JV11" s="16">
        <f t="shared" si="15"/>
        <v>0.12087912087912088</v>
      </c>
      <c r="JW11" s="16">
        <f t="shared" si="15"/>
        <v>8.9108910891089105E-2</v>
      </c>
      <c r="JX11" s="16">
        <f t="shared" si="15"/>
        <v>9.6153846153846159E-2</v>
      </c>
      <c r="JY11" s="16">
        <f t="shared" si="15"/>
        <v>8.6956521739130432E-2</v>
      </c>
      <c r="JZ11" s="16">
        <f t="shared" si="15"/>
        <v>6.3829787234042548E-2</v>
      </c>
      <c r="KA11" s="16">
        <f t="shared" si="15"/>
        <v>8.7837837837837843E-2</v>
      </c>
      <c r="KB11" s="16">
        <f t="shared" si="15"/>
        <v>7.2115384615384609E-2</v>
      </c>
      <c r="KC11" s="16">
        <f t="shared" si="15"/>
        <v>6.9230769230769235E-2</v>
      </c>
      <c r="KD11" s="16">
        <f t="shared" si="15"/>
        <v>7.796610169491526E-2</v>
      </c>
      <c r="KE11" s="16">
        <f t="shared" si="15"/>
        <v>7.6696165191740412E-2</v>
      </c>
      <c r="KF11" s="16">
        <f t="shared" si="15"/>
        <v>7.3417721518987344E-2</v>
      </c>
      <c r="KG11" s="16">
        <f t="shared" si="15"/>
        <v>6.8607068607068611E-2</v>
      </c>
      <c r="KH11" s="16">
        <f t="shared" si="15"/>
        <v>6.4030131826741998E-2</v>
      </c>
      <c r="KI11" s="16">
        <f t="shared" si="15"/>
        <v>6.6427289048473961E-2</v>
      </c>
      <c r="KJ11" s="16">
        <f t="shared" si="15"/>
        <v>6.3439065108514187E-2</v>
      </c>
      <c r="KK11" s="16">
        <f t="shared" si="15"/>
        <v>6.623586429725363E-2</v>
      </c>
      <c r="KL11" s="16">
        <f t="shared" si="15"/>
        <v>7.7279752704791344E-2</v>
      </c>
      <c r="KM11" s="16">
        <f t="shared" si="15"/>
        <v>7.716049382716049E-2</v>
      </c>
      <c r="KN11" s="16">
        <f t="shared" si="15"/>
        <v>7.1922544951590589E-2</v>
      </c>
      <c r="KO11" s="16">
        <f t="shared" si="15"/>
        <v>6.3670411985018729E-2</v>
      </c>
      <c r="KP11" s="16">
        <f t="shared" si="15"/>
        <v>5.8472553699284009E-2</v>
      </c>
      <c r="KQ11" s="16">
        <f t="shared" si="15"/>
        <v>6.2295081967213117E-2</v>
      </c>
      <c r="KR11" s="16">
        <f t="shared" si="15"/>
        <v>6.569343065693431E-2</v>
      </c>
      <c r="KS11" s="16">
        <f t="shared" si="15"/>
        <v>7.7611940298507459E-2</v>
      </c>
      <c r="KT11" s="16">
        <f t="shared" si="15"/>
        <v>8.175473579262213E-2</v>
      </c>
      <c r="KU11" s="16">
        <f t="shared" si="15"/>
        <v>7.8564500484966049E-2</v>
      </c>
      <c r="KV11" s="16">
        <f t="shared" si="15"/>
        <v>8.1652257444764648E-2</v>
      </c>
      <c r="KW11" s="16">
        <f t="shared" si="15"/>
        <v>8.0340264650283558E-2</v>
      </c>
      <c r="KX11" s="16">
        <f t="shared" si="15"/>
        <v>8.2331174838112864E-2</v>
      </c>
      <c r="KY11" s="16">
        <f t="shared" si="15"/>
        <v>8.5817524841915085E-2</v>
      </c>
      <c r="KZ11" s="16">
        <f t="shared" si="15"/>
        <v>9.9384344766930519E-2</v>
      </c>
      <c r="LA11" s="16">
        <f t="shared" si="15"/>
        <v>9.914529914529914E-2</v>
      </c>
      <c r="LB11" s="16">
        <f t="shared" si="15"/>
        <v>0.1046712802768166</v>
      </c>
      <c r="LC11" s="16">
        <f t="shared" si="15"/>
        <v>0.12214411247803164</v>
      </c>
      <c r="LD11" s="16">
        <f t="shared" si="15"/>
        <v>0.12947658402203857</v>
      </c>
      <c r="LE11" s="16">
        <f t="shared" si="15"/>
        <v>0.12903225806451613</v>
      </c>
      <c r="LF11" s="16">
        <f t="shared" si="15"/>
        <v>0.15172413793103448</v>
      </c>
      <c r="LG11" s="16">
        <f t="shared" si="15"/>
        <v>0.1588235294117647</v>
      </c>
      <c r="LH11" s="16">
        <f t="shared" si="15"/>
        <v>0.16988727858293076</v>
      </c>
      <c r="LI11" s="16">
        <f t="shared" si="15"/>
        <v>0.2040030792917629</v>
      </c>
      <c r="LJ11" s="16">
        <f t="shared" si="15"/>
        <v>0.21438953488372092</v>
      </c>
      <c r="LK11" s="16">
        <f t="shared" si="15"/>
        <v>0.21190781049935981</v>
      </c>
      <c r="LL11" s="16">
        <f t="shared" si="15"/>
        <v>0.21945570353213664</v>
      </c>
      <c r="LM11" s="16">
        <f t="shared" si="15"/>
        <v>0.23027375201288244</v>
      </c>
      <c r="LN11" s="16">
        <f t="shared" si="15"/>
        <v>0.23253493013972057</v>
      </c>
      <c r="LO11" s="16">
        <f t="shared" si="15"/>
        <v>0.24433132808884775</v>
      </c>
      <c r="LP11" s="16">
        <f t="shared" si="15"/>
        <v>0.26419031719532554</v>
      </c>
      <c r="LQ11" s="16">
        <f t="shared" si="15"/>
        <v>0.27573392790784096</v>
      </c>
      <c r="LR11" s="16">
        <f t="shared" si="15"/>
        <v>0.29443734015345269</v>
      </c>
      <c r="LS11" s="16">
        <f t="shared" ref="LS11:NQ11" si="16">LS10/LS9</f>
        <v>0.29884393063583814</v>
      </c>
      <c r="LT11" s="16">
        <f t="shared" si="16"/>
        <v>0.31289587028122623</v>
      </c>
      <c r="LU11" s="16">
        <f t="shared" si="16"/>
        <v>0.32633543270352228</v>
      </c>
      <c r="LV11" s="16">
        <f t="shared" si="16"/>
        <v>0.33220696937697991</v>
      </c>
      <c r="LW11" s="16">
        <f t="shared" si="16"/>
        <v>0.34160156250000001</v>
      </c>
      <c r="LX11" s="16">
        <f t="shared" si="16"/>
        <v>0.33249234096233554</v>
      </c>
      <c r="LY11" s="16">
        <f t="shared" si="16"/>
        <v>0.32645933810078165</v>
      </c>
      <c r="LZ11" s="16">
        <f t="shared" si="16"/>
        <v>0.3251636474349216</v>
      </c>
      <c r="MA11" s="16">
        <f t="shared" si="16"/>
        <v>0.31860112901005094</v>
      </c>
      <c r="MB11" s="16">
        <f t="shared" si="16"/>
        <v>0.32547169811320753</v>
      </c>
      <c r="MC11" s="16">
        <f t="shared" si="16"/>
        <v>0.31528520499108736</v>
      </c>
      <c r="MD11" s="16">
        <f t="shared" si="16"/>
        <v>0.3063245100020206</v>
      </c>
      <c r="ME11" s="16">
        <f t="shared" si="16"/>
        <v>0.30054033910937211</v>
      </c>
      <c r="MF11" s="16">
        <f t="shared" si="16"/>
        <v>0.298495121547875</v>
      </c>
      <c r="MG11" s="16">
        <f t="shared" si="16"/>
        <v>0.29720538222682241</v>
      </c>
      <c r="MH11" s="16">
        <f t="shared" si="16"/>
        <v>0.28703391544737372</v>
      </c>
      <c r="MI11" s="16">
        <f t="shared" si="16"/>
        <v>0.27822855373180549</v>
      </c>
      <c r="MJ11" s="16">
        <f t="shared" si="16"/>
        <v>0.27052649399018114</v>
      </c>
      <c r="MK11" s="16">
        <f t="shared" si="16"/>
        <v>0.26877366428270932</v>
      </c>
      <c r="ML11" s="16">
        <f t="shared" si="16"/>
        <v>0.25636779817854188</v>
      </c>
      <c r="MM11" s="16">
        <f t="shared" si="16"/>
        <v>0.24750868016413402</v>
      </c>
      <c r="MN11" s="16">
        <f t="shared" si="16"/>
        <v>0.24121257988563741</v>
      </c>
      <c r="MO11" s="16">
        <f t="shared" si="16"/>
        <v>0.2347743767750079</v>
      </c>
      <c r="MP11" s="16">
        <f t="shared" si="16"/>
        <v>0.23387890496846864</v>
      </c>
      <c r="MQ11" s="16">
        <f t="shared" si="16"/>
        <v>0.22683642181042526</v>
      </c>
      <c r="MR11" s="16">
        <f t="shared" si="16"/>
        <v>0.21774415827029675</v>
      </c>
      <c r="MS11" s="16">
        <f t="shared" si="16"/>
        <v>0.20846896317472899</v>
      </c>
      <c r="MT11" s="16">
        <f t="shared" si="16"/>
        <v>0.20484310685839524</v>
      </c>
      <c r="MU11" s="16">
        <f t="shared" si="16"/>
        <v>0.19920338685838823</v>
      </c>
      <c r="MV11" s="16">
        <f t="shared" si="16"/>
        <v>0.19293541079106755</v>
      </c>
      <c r="MW11" s="16">
        <f t="shared" si="16"/>
        <v>0.19191299008858873</v>
      </c>
      <c r="MX11" s="16">
        <f t="shared" si="16"/>
        <v>0.19143312636348381</v>
      </c>
      <c r="MY11" s="16">
        <f t="shared" si="16"/>
        <v>0.19900048169556839</v>
      </c>
      <c r="MZ11" s="16">
        <f t="shared" si="16"/>
        <v>0.21253342634577374</v>
      </c>
      <c r="NA11" s="16">
        <f t="shared" si="16"/>
        <v>0.2153929885143758</v>
      </c>
      <c r="NB11" s="16">
        <f t="shared" si="16"/>
        <v>0.21164377331028836</v>
      </c>
      <c r="NC11" s="16">
        <f t="shared" si="16"/>
        <v>0.21071701330302114</v>
      </c>
      <c r="ND11" s="16">
        <f t="shared" si="16"/>
        <v>0.20719660928985381</v>
      </c>
      <c r="NE11" s="16">
        <f t="shared" si="16"/>
        <v>0.20237520683949256</v>
      </c>
      <c r="NF11" s="16">
        <f t="shared" si="16"/>
        <v>0.18372630924845515</v>
      </c>
      <c r="NG11" s="16">
        <f t="shared" si="16"/>
        <v>0.19632158283405324</v>
      </c>
      <c r="NH11" s="16">
        <f t="shared" si="16"/>
        <v>0.19434529565874845</v>
      </c>
      <c r="NI11" s="16">
        <f t="shared" si="16"/>
        <v>0.18303795651861951</v>
      </c>
      <c r="NJ11" s="16">
        <f t="shared" si="16"/>
        <v>0.15287667060122606</v>
      </c>
      <c r="NK11" s="16">
        <f t="shared" si="16"/>
        <v>0.21144329896907216</v>
      </c>
      <c r="NL11" s="16">
        <f t="shared" si="16"/>
        <v>0.19489183011747196</v>
      </c>
      <c r="NM11" s="16">
        <f t="shared" si="16"/>
        <v>0.18020121171696959</v>
      </c>
      <c r="NN11" s="16">
        <f t="shared" si="16"/>
        <v>0.18341336178789497</v>
      </c>
      <c r="NO11" s="16">
        <f t="shared" si="16"/>
        <v>0.19201233713098759</v>
      </c>
      <c r="NP11" s="16">
        <f t="shared" si="16"/>
        <v>0.16632741072968776</v>
      </c>
      <c r="NQ11" s="16">
        <f t="shared" si="16"/>
        <v>0.14671888069348338</v>
      </c>
      <c r="NR11" s="13" t="e">
        <f t="shared" ref="NR11:OC11" si="17">NR10/NR9*100</f>
        <v>#DIV/0!</v>
      </c>
      <c r="NS11" s="13" t="e">
        <f t="shared" si="17"/>
        <v>#DIV/0!</v>
      </c>
      <c r="NT11" s="13" t="e">
        <f t="shared" si="17"/>
        <v>#DIV/0!</v>
      </c>
      <c r="NU11" s="13" t="e">
        <f t="shared" si="17"/>
        <v>#DIV/0!</v>
      </c>
      <c r="NV11" s="13" t="e">
        <f t="shared" si="17"/>
        <v>#DIV/0!</v>
      </c>
      <c r="NW11" s="13" t="e">
        <f t="shared" si="17"/>
        <v>#DIV/0!</v>
      </c>
      <c r="NX11" s="13" t="e">
        <f t="shared" si="17"/>
        <v>#DIV/0!</v>
      </c>
      <c r="NY11" s="13" t="e">
        <f t="shared" si="17"/>
        <v>#DIV/0!</v>
      </c>
      <c r="NZ11" s="13" t="e">
        <f t="shared" si="17"/>
        <v>#DIV/0!</v>
      </c>
      <c r="OA11" s="13" t="e">
        <f t="shared" si="17"/>
        <v>#DIV/0!</v>
      </c>
      <c r="OB11" s="13" t="e">
        <f t="shared" si="17"/>
        <v>#DIV/0!</v>
      </c>
      <c r="OC11" s="13" t="e">
        <f t="shared" si="17"/>
        <v>#DIV/0!</v>
      </c>
      <c r="OD11" s="13" t="e">
        <f t="shared" ref="OD11" si="18">OD10/OD9*100</f>
        <v>#DIV/0!</v>
      </c>
      <c r="OE11" s="11"/>
    </row>
    <row r="12" spans="1:397">
      <c r="A12" s="13" t="s">
        <v>46</v>
      </c>
      <c r="B12" s="13">
        <v>84696</v>
      </c>
      <c r="C12" s="13">
        <v>84650</v>
      </c>
      <c r="D12" s="13">
        <v>84602</v>
      </c>
      <c r="E12" s="13">
        <v>84547</v>
      </c>
      <c r="F12" s="13">
        <v>84499</v>
      </c>
      <c r="G12" s="13">
        <v>84438</v>
      </c>
      <c r="H12" s="13">
        <v>84357</v>
      </c>
      <c r="I12" s="13">
        <v>84292</v>
      </c>
      <c r="J12" s="13">
        <v>84221</v>
      </c>
      <c r="K12" s="13">
        <v>84129</v>
      </c>
      <c r="L12" s="13">
        <v>84027</v>
      </c>
      <c r="M12" s="13">
        <v>83952</v>
      </c>
      <c r="N12" s="13">
        <v>83880</v>
      </c>
      <c r="O12" s="13">
        <v>83810</v>
      </c>
      <c r="P12" s="13">
        <v>83729</v>
      </c>
      <c r="Q12" s="13">
        <v>83602</v>
      </c>
      <c r="R12" s="13">
        <v>83467</v>
      </c>
      <c r="S12" s="13">
        <v>83376</v>
      </c>
      <c r="T12" s="13">
        <v>83314</v>
      </c>
      <c r="U12" s="13">
        <v>83218</v>
      </c>
      <c r="V12" s="13">
        <v>83083</v>
      </c>
      <c r="W12" s="13">
        <v>82940</v>
      </c>
      <c r="X12" s="13">
        <v>82870</v>
      </c>
      <c r="Y12" s="13">
        <v>82774</v>
      </c>
      <c r="Z12" s="13">
        <v>82676</v>
      </c>
      <c r="AA12" s="13">
        <v>82630</v>
      </c>
      <c r="AB12" s="13">
        <v>82556</v>
      </c>
      <c r="AC12" s="13">
        <v>82526</v>
      </c>
      <c r="AD12" s="13">
        <v>82495</v>
      </c>
      <c r="AE12" s="13">
        <v>82468</v>
      </c>
      <c r="AF12" s="13">
        <v>82449</v>
      </c>
      <c r="AG12" s="13">
        <v>82432</v>
      </c>
      <c r="AH12" s="13">
        <v>82400</v>
      </c>
      <c r="AI12" s="13">
        <v>82387</v>
      </c>
      <c r="AJ12" s="13">
        <v>82370</v>
      </c>
      <c r="AK12" s="13">
        <v>82352</v>
      </c>
      <c r="AL12" s="13">
        <v>82324</v>
      </c>
      <c r="AM12" s="13">
        <v>82288</v>
      </c>
      <c r="AN12" s="13">
        <v>82260</v>
      </c>
      <c r="AO12" s="13">
        <v>82229</v>
      </c>
      <c r="AP12" s="13">
        <v>82211</v>
      </c>
      <c r="AQ12" s="13">
        <v>82195</v>
      </c>
      <c r="AR12" s="13">
        <v>82176</v>
      </c>
      <c r="AS12" s="13">
        <v>82159</v>
      </c>
      <c r="AT12" s="13">
        <v>82138</v>
      </c>
      <c r="AU12" s="13">
        <v>82117</v>
      </c>
      <c r="AV12" s="13">
        <v>82105</v>
      </c>
      <c r="AW12" s="13">
        <v>82088</v>
      </c>
      <c r="AX12" s="13">
        <v>82076</v>
      </c>
      <c r="AY12" s="13">
        <v>82067</v>
      </c>
      <c r="AZ12" s="13">
        <v>82050</v>
      </c>
      <c r="BA12" s="13">
        <v>82037</v>
      </c>
      <c r="BB12" s="13">
        <v>82021</v>
      </c>
      <c r="BC12" s="13">
        <v>82003</v>
      </c>
      <c r="BD12" s="13">
        <v>81987</v>
      </c>
      <c r="BE12" s="13">
        <v>81971</v>
      </c>
      <c r="BF12" s="13">
        <v>81959</v>
      </c>
      <c r="BG12" s="13">
        <v>81950</v>
      </c>
      <c r="BH12" s="13">
        <v>81928</v>
      </c>
      <c r="BI12" s="13">
        <v>81909</v>
      </c>
      <c r="BJ12" s="13">
        <v>81900</v>
      </c>
      <c r="BK12" s="13">
        <v>81886</v>
      </c>
      <c r="BL12" s="13">
        <v>81865</v>
      </c>
      <c r="BM12" s="13">
        <v>81851</v>
      </c>
      <c r="BN12" s="13">
        <v>81842</v>
      </c>
      <c r="BO12" s="13">
        <v>81821</v>
      </c>
      <c r="BP12" s="13">
        <v>81812</v>
      </c>
      <c r="BQ12" s="13">
        <v>81794</v>
      </c>
      <c r="BR12" s="13">
        <v>81785</v>
      </c>
      <c r="BS12" s="13">
        <v>81774</v>
      </c>
      <c r="BT12" s="13">
        <v>81762</v>
      </c>
      <c r="BU12" s="13">
        <v>81754</v>
      </c>
      <c r="BV12" s="13">
        <v>81743</v>
      </c>
      <c r="BW12" s="13">
        <v>81732</v>
      </c>
      <c r="BX12" s="13">
        <v>81719</v>
      </c>
      <c r="BY12" s="13">
        <v>81706</v>
      </c>
      <c r="BZ12" s="13">
        <v>81694</v>
      </c>
      <c r="CA12" s="13">
        <v>81679</v>
      </c>
      <c r="CB12" s="13">
        <v>81667</v>
      </c>
      <c r="CC12" s="13">
        <v>81649</v>
      </c>
      <c r="CD12" s="13">
        <v>81631</v>
      </c>
      <c r="CE12" s="13">
        <v>81619</v>
      </c>
      <c r="CF12" s="13">
        <v>81598</v>
      </c>
      <c r="CG12" s="13">
        <v>81582</v>
      </c>
      <c r="CH12" s="13">
        <v>81558</v>
      </c>
      <c r="CI12" s="13">
        <v>81550</v>
      </c>
      <c r="CJ12" s="13">
        <v>81530</v>
      </c>
      <c r="CK12" s="13">
        <v>81508</v>
      </c>
      <c r="CL12" s="13">
        <v>81493</v>
      </c>
      <c r="CM12" s="13">
        <v>81481</v>
      </c>
      <c r="CN12" s="13">
        <v>81472</v>
      </c>
      <c r="CO12" s="13">
        <v>81453</v>
      </c>
      <c r="CP12" s="13">
        <v>81433</v>
      </c>
      <c r="CQ12" s="13">
        <v>81411</v>
      </c>
      <c r="CR12" s="13">
        <v>81374</v>
      </c>
      <c r="CS12" s="13">
        <v>81338</v>
      </c>
      <c r="CT12" s="13">
        <v>81319</v>
      </c>
      <c r="CU12" s="13">
        <v>81303</v>
      </c>
      <c r="CV12" s="13">
        <v>81279</v>
      </c>
      <c r="CW12" s="13">
        <v>81252</v>
      </c>
      <c r="CX12" s="13">
        <v>81228</v>
      </c>
      <c r="CY12" s="13">
        <v>81207</v>
      </c>
      <c r="CZ12" s="13">
        <v>81187</v>
      </c>
      <c r="DA12" s="13">
        <v>81168</v>
      </c>
      <c r="DB12" s="13">
        <v>81131</v>
      </c>
      <c r="DC12" s="13">
        <v>81098</v>
      </c>
      <c r="DD12" s="13">
        <v>81081</v>
      </c>
      <c r="DE12" s="13">
        <v>81061</v>
      </c>
      <c r="DF12" s="13">
        <v>81045</v>
      </c>
      <c r="DG12" s="13">
        <v>81024</v>
      </c>
      <c r="DH12" s="13">
        <v>81004</v>
      </c>
      <c r="DI12" s="13">
        <v>80984</v>
      </c>
      <c r="DJ12" s="13">
        <v>80967</v>
      </c>
      <c r="DK12" s="13">
        <v>80943</v>
      </c>
      <c r="DL12" s="13">
        <v>80936</v>
      </c>
      <c r="DM12" s="13">
        <v>80928</v>
      </c>
      <c r="DN12" s="13">
        <v>80911</v>
      </c>
      <c r="DO12" s="13">
        <v>80891</v>
      </c>
      <c r="DP12" s="13">
        <v>80876</v>
      </c>
      <c r="DQ12" s="13">
        <v>80865</v>
      </c>
      <c r="DR12" s="13">
        <v>80850</v>
      </c>
      <c r="DS12" s="13">
        <v>80834</v>
      </c>
      <c r="DT12" s="13">
        <v>80812</v>
      </c>
      <c r="DU12" s="13">
        <v>80802</v>
      </c>
      <c r="DV12" s="13">
        <v>80786</v>
      </c>
      <c r="DW12" s="13">
        <v>80766</v>
      </c>
      <c r="DX12" s="13">
        <v>80759</v>
      </c>
      <c r="DY12" s="13">
        <v>80748</v>
      </c>
      <c r="DZ12" s="13">
        <v>80736</v>
      </c>
      <c r="EA12" s="13">
        <v>80729</v>
      </c>
      <c r="EB12" s="13">
        <v>80714</v>
      </c>
      <c r="EC12" s="13">
        <v>80705</v>
      </c>
      <c r="ED12" s="13">
        <v>80696</v>
      </c>
      <c r="EE12" s="13">
        <v>80681</v>
      </c>
      <c r="EF12" s="13">
        <v>80666</v>
      </c>
      <c r="EG12" s="13">
        <v>80650</v>
      </c>
      <c r="EH12" s="13">
        <v>80635</v>
      </c>
      <c r="EI12" s="13">
        <v>80628</v>
      </c>
      <c r="EJ12" s="13">
        <v>80621</v>
      </c>
      <c r="EK12" s="13">
        <v>80611</v>
      </c>
      <c r="EL12" s="13">
        <v>80601</v>
      </c>
      <c r="EM12" s="13">
        <v>80594</v>
      </c>
      <c r="EN12" s="13">
        <v>80578</v>
      </c>
      <c r="EO12" s="13">
        <v>80566</v>
      </c>
      <c r="EP12" s="13">
        <v>80553</v>
      </c>
      <c r="EQ12" s="13">
        <v>80541</v>
      </c>
      <c r="ER12" s="13">
        <v>80536</v>
      </c>
      <c r="ES12" s="13">
        <v>80522</v>
      </c>
      <c r="ET12" s="13">
        <v>80513</v>
      </c>
      <c r="EU12" s="13">
        <v>80505</v>
      </c>
      <c r="EV12" s="13">
        <v>80497</v>
      </c>
      <c r="EW12" s="13">
        <v>80484</v>
      </c>
      <c r="EX12" s="13">
        <v>80477</v>
      </c>
      <c r="EY12" s="13">
        <v>80464</v>
      </c>
      <c r="EZ12" s="13">
        <v>80456</v>
      </c>
      <c r="FA12" s="13">
        <v>80448</v>
      </c>
      <c r="FB12" s="13">
        <v>80437</v>
      </c>
      <c r="FC12" s="13">
        <v>80426</v>
      </c>
      <c r="FD12" s="13">
        <v>80415</v>
      </c>
      <c r="FE12" s="13">
        <v>80399</v>
      </c>
      <c r="FF12" s="13">
        <v>80386</v>
      </c>
      <c r="FG12" s="13">
        <v>80377</v>
      </c>
      <c r="FH12" s="13">
        <v>80358</v>
      </c>
      <c r="FI12" s="13">
        <v>80347</v>
      </c>
      <c r="FJ12" s="13">
        <v>80335</v>
      </c>
      <c r="FK12" s="13">
        <v>80320</v>
      </c>
      <c r="FL12" s="13">
        <v>80302</v>
      </c>
      <c r="FM12" s="13">
        <v>80284</v>
      </c>
      <c r="FN12" s="13">
        <v>80263</v>
      </c>
      <c r="FO12" s="13">
        <v>80251</v>
      </c>
      <c r="FP12" s="13">
        <v>80208</v>
      </c>
      <c r="FQ12" s="13">
        <v>80234</v>
      </c>
      <c r="FR12" s="13">
        <v>80177</v>
      </c>
      <c r="FS12" s="13">
        <v>80153</v>
      </c>
      <c r="FT12" s="13">
        <v>80126</v>
      </c>
      <c r="FU12" s="13">
        <v>80091</v>
      </c>
      <c r="FV12" s="13">
        <v>80046</v>
      </c>
      <c r="FW12" s="13">
        <v>80015</v>
      </c>
      <c r="FX12" s="13">
        <v>79961</v>
      </c>
      <c r="FY12" s="13">
        <v>79925</v>
      </c>
      <c r="FZ12" s="13">
        <v>79895</v>
      </c>
      <c r="GA12" s="13">
        <v>79851</v>
      </c>
      <c r="GB12" s="13">
        <v>79792</v>
      </c>
      <c r="GC12" s="13">
        <v>79745</v>
      </c>
      <c r="GD12" s="13">
        <v>79685</v>
      </c>
      <c r="GE12" s="13">
        <v>79642</v>
      </c>
      <c r="GF12" s="13">
        <v>79603</v>
      </c>
      <c r="GG12" s="13">
        <v>79575</v>
      </c>
      <c r="GH12" s="13">
        <v>79519</v>
      </c>
      <c r="GI12" s="13">
        <v>79462</v>
      </c>
      <c r="GJ12" s="13">
        <v>79398</v>
      </c>
      <c r="GK12" s="13">
        <v>79342</v>
      </c>
      <c r="GL12" s="13">
        <v>79284</v>
      </c>
      <c r="GM12" s="13">
        <v>79232</v>
      </c>
      <c r="GN12" s="13">
        <v>79168</v>
      </c>
      <c r="GO12" s="13">
        <v>79123</v>
      </c>
      <c r="GP12" s="13">
        <v>79088</v>
      </c>
      <c r="GQ12" s="13">
        <v>79057</v>
      </c>
      <c r="GR12" s="13">
        <v>79047</v>
      </c>
      <c r="GS12" s="13">
        <v>79030</v>
      </c>
      <c r="GT12" s="13">
        <v>79013</v>
      </c>
      <c r="GU12" s="13">
        <v>79003</v>
      </c>
      <c r="GV12" s="13">
        <v>78989</v>
      </c>
      <c r="GW12" s="13">
        <v>78974</v>
      </c>
      <c r="GX12" s="13">
        <v>78957</v>
      </c>
      <c r="GY12" s="13">
        <v>78944</v>
      </c>
      <c r="GZ12" s="13">
        <v>78934</v>
      </c>
      <c r="HA12" s="13">
        <v>78918</v>
      </c>
      <c r="HB12" s="13">
        <v>78908</v>
      </c>
      <c r="HC12" s="13">
        <v>78889</v>
      </c>
      <c r="HD12" s="13">
        <v>78873</v>
      </c>
      <c r="HE12" s="13">
        <v>78855</v>
      </c>
      <c r="HF12" s="13">
        <v>78840</v>
      </c>
      <c r="HG12" s="13">
        <v>78817</v>
      </c>
      <c r="HH12" s="13">
        <v>78799</v>
      </c>
      <c r="HI12" s="13">
        <v>78775</v>
      </c>
      <c r="HJ12" s="13">
        <v>78758</v>
      </c>
      <c r="HK12" s="13">
        <v>78737</v>
      </c>
      <c r="HL12" s="13">
        <v>78719</v>
      </c>
      <c r="HM12" s="13">
        <v>78693</v>
      </c>
      <c r="HN12" s="13">
        <v>78674</v>
      </c>
      <c r="HO12" s="13">
        <v>78648</v>
      </c>
      <c r="HP12" s="13">
        <v>78634</v>
      </c>
      <c r="HQ12" s="13">
        <v>78623</v>
      </c>
      <c r="HR12" s="13">
        <v>78609</v>
      </c>
      <c r="HS12" s="13">
        <v>78590</v>
      </c>
      <c r="HT12" s="13">
        <v>78548</v>
      </c>
      <c r="HU12" s="13">
        <v>78528</v>
      </c>
      <c r="HV12" s="13">
        <v>78518</v>
      </c>
      <c r="HW12" s="13">
        <v>78516</v>
      </c>
      <c r="HX12" s="13">
        <v>78509</v>
      </c>
      <c r="HY12" s="13">
        <v>78499</v>
      </c>
      <c r="HZ12" s="13">
        <v>78487</v>
      </c>
      <c r="IA12" s="13">
        <v>78479</v>
      </c>
      <c r="IB12" s="13">
        <v>78469</v>
      </c>
      <c r="IC12" s="13">
        <v>78460</v>
      </c>
      <c r="ID12" s="13">
        <v>78451</v>
      </c>
      <c r="IE12" s="13">
        <v>78444</v>
      </c>
      <c r="IF12" s="13">
        <v>78439</v>
      </c>
      <c r="IG12" s="13">
        <v>78433</v>
      </c>
      <c r="IH12" s="13">
        <v>78428</v>
      </c>
      <c r="II12" s="13">
        <v>78425</v>
      </c>
      <c r="IJ12" s="13">
        <v>78413</v>
      </c>
      <c r="IK12" s="13">
        <v>78413</v>
      </c>
      <c r="IL12" s="13">
        <v>78410</v>
      </c>
      <c r="IM12" s="13">
        <v>78398</v>
      </c>
      <c r="IN12" s="13">
        <v>78394</v>
      </c>
      <c r="IO12" s="13">
        <v>78379</v>
      </c>
      <c r="IP12" s="13">
        <v>78377</v>
      </c>
      <c r="IQ12" s="13">
        <v>78370</v>
      </c>
      <c r="IR12" s="13">
        <v>78369</v>
      </c>
      <c r="IS12" s="13">
        <v>78367</v>
      </c>
      <c r="IT12" s="13">
        <v>78365</v>
      </c>
      <c r="IU12" s="13">
        <v>78361</v>
      </c>
      <c r="IV12" s="13">
        <v>78357</v>
      </c>
      <c r="IW12" s="13">
        <v>78351</v>
      </c>
      <c r="IX12" s="13">
        <v>78341</v>
      </c>
      <c r="IY12" s="13">
        <v>78332</v>
      </c>
      <c r="IZ12" s="13">
        <v>78329</v>
      </c>
      <c r="JA12" s="13">
        <v>78327</v>
      </c>
      <c r="JB12" s="13">
        <v>78319</v>
      </c>
      <c r="JC12" s="13">
        <v>78314</v>
      </c>
      <c r="JD12" s="13">
        <v>78315</v>
      </c>
      <c r="JE12" s="13">
        <v>78307</v>
      </c>
      <c r="JF12" s="13">
        <v>78304</v>
      </c>
      <c r="JG12" s="13">
        <v>78302</v>
      </c>
      <c r="JH12" s="13">
        <v>78291</v>
      </c>
      <c r="JI12" s="13">
        <v>78288</v>
      </c>
      <c r="JJ12" s="13">
        <v>78280</v>
      </c>
      <c r="JK12" s="13">
        <v>78277</v>
      </c>
      <c r="JL12" s="13">
        <v>78268</v>
      </c>
      <c r="JM12" s="13">
        <v>78261</v>
      </c>
      <c r="JN12" s="13">
        <v>78258</v>
      </c>
      <c r="JO12" s="13">
        <v>78255</v>
      </c>
      <c r="JP12" s="13">
        <v>78249</v>
      </c>
      <c r="JQ12" s="13">
        <v>78244</v>
      </c>
      <c r="JR12" s="13">
        <v>78241</v>
      </c>
      <c r="JS12" s="13">
        <v>78238</v>
      </c>
      <c r="JT12" s="13">
        <v>78227</v>
      </c>
      <c r="JU12" s="13">
        <v>78219</v>
      </c>
      <c r="JV12" s="13">
        <v>78209</v>
      </c>
      <c r="JW12" s="13">
        <v>78195</v>
      </c>
      <c r="JX12" s="13">
        <v>78189</v>
      </c>
      <c r="JY12" s="13">
        <v>78171</v>
      </c>
      <c r="JZ12" s="13">
        <v>78144</v>
      </c>
      <c r="KA12" s="13">
        <v>78120</v>
      </c>
      <c r="KB12" s="13">
        <v>78046</v>
      </c>
      <c r="KC12" s="13">
        <v>77993</v>
      </c>
      <c r="KD12" s="13">
        <v>77957</v>
      </c>
      <c r="KE12" s="13">
        <v>77911</v>
      </c>
      <c r="KF12" s="13">
        <v>77853</v>
      </c>
      <c r="KG12" s="13">
        <v>77766</v>
      </c>
      <c r="KH12" s="13">
        <v>77713</v>
      </c>
      <c r="KI12" s="13">
        <v>77685</v>
      </c>
      <c r="KJ12" s="13">
        <v>77642</v>
      </c>
      <c r="KK12" s="13">
        <v>77610</v>
      </c>
      <c r="KL12" s="13">
        <v>77578</v>
      </c>
      <c r="KM12" s="13">
        <v>77555</v>
      </c>
      <c r="KN12" s="13">
        <v>77474</v>
      </c>
      <c r="KO12" s="13">
        <v>77394</v>
      </c>
      <c r="KP12" s="13">
        <v>77346</v>
      </c>
      <c r="KQ12" s="13">
        <v>77257</v>
      </c>
      <c r="KR12" s="13">
        <v>77207</v>
      </c>
      <c r="KS12" s="13">
        <v>77151</v>
      </c>
      <c r="KT12" s="13">
        <v>77123</v>
      </c>
      <c r="KU12" s="13">
        <v>77084</v>
      </c>
      <c r="KV12" s="13">
        <v>77062</v>
      </c>
      <c r="KW12" s="13">
        <v>77029</v>
      </c>
      <c r="KX12" s="13">
        <v>76979</v>
      </c>
      <c r="KY12" s="13">
        <v>77892</v>
      </c>
      <c r="KZ12" s="13">
        <v>77816</v>
      </c>
      <c r="LA12" s="13">
        <v>77738</v>
      </c>
      <c r="LB12" s="13">
        <v>77663</v>
      </c>
      <c r="LC12" s="13">
        <v>77575</v>
      </c>
      <c r="LD12" s="13">
        <v>77525</v>
      </c>
      <c r="LE12" s="13">
        <v>77455</v>
      </c>
      <c r="LF12" s="13">
        <v>77370</v>
      </c>
      <c r="LG12" s="13">
        <v>77279</v>
      </c>
      <c r="LH12" s="13">
        <v>77167</v>
      </c>
      <c r="LI12" s="13">
        <v>77078</v>
      </c>
      <c r="LJ12" s="13">
        <v>76964</v>
      </c>
      <c r="LK12" s="13">
        <v>76751</v>
      </c>
      <c r="LL12" s="13">
        <v>76571</v>
      </c>
      <c r="LM12" s="13">
        <v>76408</v>
      </c>
      <c r="LN12" s="13">
        <v>76238</v>
      </c>
      <c r="LO12" s="13">
        <v>76052</v>
      </c>
      <c r="LP12" s="13">
        <v>75770</v>
      </c>
      <c r="LQ12" s="13">
        <v>75448</v>
      </c>
      <c r="LR12" s="13">
        <v>74971</v>
      </c>
      <c r="LS12" s="13">
        <v>74588</v>
      </c>
      <c r="LT12" s="13">
        <v>74051</v>
      </c>
      <c r="LU12" s="13">
        <v>73650</v>
      </c>
      <c r="LV12" s="13">
        <v>73159</v>
      </c>
      <c r="LW12" s="13">
        <v>72703</v>
      </c>
      <c r="LX12" s="13">
        <v>72244</v>
      </c>
      <c r="LY12" s="13">
        <v>71740</v>
      </c>
      <c r="LZ12" s="13">
        <v>71150</v>
      </c>
      <c r="MA12" s="13">
        <v>70420</v>
      </c>
      <c r="MB12" s="13">
        <v>69601</v>
      </c>
      <c r="MC12" s="13">
        <v>68679</v>
      </c>
      <c r="MD12" s="13">
        <v>67749</v>
      </c>
      <c r="ME12" s="13">
        <v>66911</v>
      </c>
      <c r="MF12" s="13">
        <v>65541</v>
      </c>
      <c r="MG12" s="13">
        <v>64111</v>
      </c>
      <c r="MH12" s="13">
        <v>62793</v>
      </c>
      <c r="MI12" s="13">
        <v>61475</v>
      </c>
      <c r="MJ12" s="13">
        <v>59897</v>
      </c>
      <c r="MK12" s="13">
        <v>58600</v>
      </c>
      <c r="ML12" s="13">
        <v>57065</v>
      </c>
      <c r="MM12" s="13">
        <v>55404</v>
      </c>
      <c r="MN12" s="13">
        <v>53726</v>
      </c>
      <c r="MO12" s="13">
        <v>52045</v>
      </c>
      <c r="MP12" s="13">
        <v>49856</v>
      </c>
      <c r="MQ12" s="13">
        <v>47204</v>
      </c>
      <c r="MR12" s="13">
        <v>44462</v>
      </c>
      <c r="MS12" s="13">
        <v>41625</v>
      </c>
      <c r="MT12" s="13">
        <v>39002</v>
      </c>
      <c r="MU12" s="13">
        <v>36117</v>
      </c>
      <c r="MV12" s="13">
        <v>32495</v>
      </c>
      <c r="MW12" s="13">
        <v>29745</v>
      </c>
      <c r="MX12" s="13">
        <v>27323</v>
      </c>
      <c r="MY12" s="13">
        <v>24734</v>
      </c>
      <c r="MZ12" s="13">
        <v>22888</v>
      </c>
      <c r="NA12" s="13">
        <v>20659</v>
      </c>
      <c r="NB12" s="13">
        <v>18266</v>
      </c>
      <c r="NC12" s="13">
        <v>16157</v>
      </c>
      <c r="ND12" s="13">
        <v>14376</v>
      </c>
      <c r="NE12" s="13">
        <v>12552</v>
      </c>
      <c r="NF12" s="13">
        <v>10844</v>
      </c>
      <c r="NG12" s="13">
        <v>9419</v>
      </c>
      <c r="NH12" s="13">
        <v>8096</v>
      </c>
      <c r="NI12" s="11">
        <v>6723</v>
      </c>
      <c r="NJ12" s="11">
        <v>5911</v>
      </c>
      <c r="NK12" s="13">
        <v>4740</v>
      </c>
      <c r="NL12" s="13">
        <v>3996</v>
      </c>
      <c r="NM12" s="11">
        <v>3281</v>
      </c>
      <c r="NN12" s="11">
        <v>2649</v>
      </c>
      <c r="NO12" s="11">
        <v>2050</v>
      </c>
      <c r="NP12" s="11">
        <v>1540</v>
      </c>
      <c r="NQ12" s="11">
        <v>1153</v>
      </c>
      <c r="NR12" s="11">
        <v>892</v>
      </c>
      <c r="NS12" s="11">
        <v>632</v>
      </c>
      <c r="NT12" s="11">
        <v>475</v>
      </c>
      <c r="NU12" s="11">
        <v>328</v>
      </c>
      <c r="NV12" s="11">
        <v>243</v>
      </c>
      <c r="NW12" s="11">
        <v>171</v>
      </c>
      <c r="NX12" s="11">
        <v>124</v>
      </c>
      <c r="NY12" s="11">
        <v>103</v>
      </c>
      <c r="NZ12" s="11">
        <v>60</v>
      </c>
      <c r="OA12" s="11">
        <v>51</v>
      </c>
      <c r="OB12" s="11">
        <v>49</v>
      </c>
      <c r="OC12" s="11">
        <v>38</v>
      </c>
      <c r="OD12" s="11">
        <v>34</v>
      </c>
    </row>
    <row r="13" spans="1:397">
      <c r="A13" s="13" t="s">
        <v>36</v>
      </c>
      <c r="B13" s="13">
        <v>4636</v>
      </c>
      <c r="C13" s="13">
        <v>4636</v>
      </c>
      <c r="D13" s="13">
        <v>4636</v>
      </c>
      <c r="E13" s="13">
        <v>4636</v>
      </c>
      <c r="F13" s="13">
        <v>4636</v>
      </c>
      <c r="G13" s="13">
        <v>4636</v>
      </c>
      <c r="H13" s="13">
        <v>4636</v>
      </c>
      <c r="I13" s="13">
        <v>4636</v>
      </c>
      <c r="J13" s="13">
        <v>4636</v>
      </c>
      <c r="K13" s="13">
        <v>4636</v>
      </c>
      <c r="L13" s="13">
        <v>4636</v>
      </c>
      <c r="M13" s="13">
        <v>4636</v>
      </c>
      <c r="N13" s="13">
        <v>4636</v>
      </c>
      <c r="O13" s="13">
        <v>4636</v>
      </c>
      <c r="P13" s="13">
        <v>4636</v>
      </c>
      <c r="Q13" s="13">
        <v>4636</v>
      </c>
      <c r="R13" s="13">
        <v>4636</v>
      </c>
      <c r="S13" s="13">
        <v>4636</v>
      </c>
      <c r="T13" s="13">
        <v>4636</v>
      </c>
      <c r="U13" s="13">
        <v>4636</v>
      </c>
      <c r="V13" s="13">
        <v>4636</v>
      </c>
      <c r="W13" s="13">
        <v>4636</v>
      </c>
      <c r="X13" s="13">
        <v>4636</v>
      </c>
      <c r="Y13" s="13">
        <v>4636</v>
      </c>
      <c r="Z13" s="13">
        <v>4636</v>
      </c>
      <c r="AA13" s="13">
        <v>4635</v>
      </c>
      <c r="AB13" s="13">
        <v>4635</v>
      </c>
      <c r="AC13" s="13">
        <v>4635</v>
      </c>
      <c r="AD13" s="13">
        <v>4635</v>
      </c>
      <c r="AE13" s="13">
        <v>4635</v>
      </c>
      <c r="AF13" s="13">
        <v>4635</v>
      </c>
      <c r="AG13" s="13">
        <v>4635</v>
      </c>
      <c r="AH13" s="13">
        <v>4635</v>
      </c>
      <c r="AI13" s="13">
        <v>4635</v>
      </c>
      <c r="AJ13" s="13">
        <v>4635</v>
      </c>
      <c r="AK13" s="13">
        <v>4635</v>
      </c>
      <c r="AL13" s="13">
        <v>4635</v>
      </c>
      <c r="AM13" s="13">
        <v>4634</v>
      </c>
      <c r="AN13" s="13">
        <v>4634</v>
      </c>
      <c r="AO13" s="13">
        <v>4634</v>
      </c>
      <c r="AP13" s="13">
        <v>4634</v>
      </c>
      <c r="AQ13" s="13">
        <v>4634</v>
      </c>
      <c r="AR13" s="13">
        <v>4634</v>
      </c>
      <c r="AS13" s="13">
        <v>4634</v>
      </c>
      <c r="AT13" s="13">
        <v>4634</v>
      </c>
      <c r="AU13" s="13">
        <v>4634</v>
      </c>
      <c r="AV13" s="13">
        <v>4634</v>
      </c>
      <c r="AW13" s="13">
        <v>4634</v>
      </c>
      <c r="AX13" s="13">
        <v>4634</v>
      </c>
      <c r="AY13" s="13">
        <v>4634</v>
      </c>
      <c r="AZ13" s="13">
        <v>4634</v>
      </c>
      <c r="BA13" s="13">
        <v>4634</v>
      </c>
      <c r="BB13" s="13">
        <v>4634</v>
      </c>
      <c r="BC13" s="13">
        <v>4634</v>
      </c>
      <c r="BD13" s="13">
        <v>4634</v>
      </c>
      <c r="BE13" s="13">
        <v>4634</v>
      </c>
      <c r="BF13" s="13">
        <v>4634</v>
      </c>
      <c r="BG13" s="13">
        <v>4634</v>
      </c>
      <c r="BH13" s="13">
        <v>4634</v>
      </c>
      <c r="BI13" s="13">
        <v>4634</v>
      </c>
      <c r="BJ13" s="13">
        <v>4634</v>
      </c>
      <c r="BK13" s="13">
        <v>4634</v>
      </c>
      <c r="BL13" s="13">
        <v>4634</v>
      </c>
      <c r="BM13" s="13">
        <v>4634</v>
      </c>
      <c r="BN13" s="13">
        <v>4634</v>
      </c>
      <c r="BO13" s="13">
        <v>4634</v>
      </c>
      <c r="BP13" s="13">
        <v>4634</v>
      </c>
      <c r="BQ13" s="13">
        <v>4634</v>
      </c>
      <c r="BR13" s="13">
        <v>4634</v>
      </c>
      <c r="BS13" s="13">
        <v>4634</v>
      </c>
      <c r="BT13" s="13">
        <v>4634</v>
      </c>
      <c r="BU13" s="13">
        <v>4634</v>
      </c>
      <c r="BV13" s="13">
        <v>4634</v>
      </c>
      <c r="BW13" s="13">
        <v>4634</v>
      </c>
      <c r="BX13" s="13">
        <v>4634</v>
      </c>
      <c r="BY13" s="13">
        <v>4634</v>
      </c>
      <c r="BZ13" s="13">
        <v>4634</v>
      </c>
      <c r="CA13" s="13">
        <v>4634</v>
      </c>
      <c r="CB13" s="13">
        <v>4634</v>
      </c>
      <c r="CC13" s="13">
        <v>4634</v>
      </c>
      <c r="CD13" s="13">
        <v>4634</v>
      </c>
      <c r="CE13" s="13">
        <v>4634</v>
      </c>
      <c r="CF13" s="13">
        <v>4634</v>
      </c>
      <c r="CG13" s="13">
        <v>4634</v>
      </c>
      <c r="CH13" s="13">
        <v>4634</v>
      </c>
      <c r="CI13" s="13">
        <v>4634</v>
      </c>
      <c r="CJ13" s="13">
        <v>4634</v>
      </c>
      <c r="CK13" s="13">
        <v>4634</v>
      </c>
      <c r="CL13" s="13">
        <v>4634</v>
      </c>
      <c r="CM13" s="13">
        <v>4634</v>
      </c>
      <c r="CN13" s="13">
        <v>4634</v>
      </c>
      <c r="CO13" s="13">
        <v>4634</v>
      </c>
      <c r="CP13" s="13">
        <v>4634</v>
      </c>
      <c r="CQ13" s="13">
        <v>4634</v>
      </c>
      <c r="CR13" s="13">
        <v>4634</v>
      </c>
      <c r="CS13" s="13">
        <v>4634</v>
      </c>
      <c r="CT13" s="13">
        <v>4634</v>
      </c>
      <c r="CU13" s="13">
        <v>4634</v>
      </c>
      <c r="CV13" s="13">
        <v>4634</v>
      </c>
      <c r="CW13" s="13">
        <v>4634</v>
      </c>
      <c r="CX13" s="13">
        <v>4634</v>
      </c>
      <c r="CY13" s="13">
        <v>4634</v>
      </c>
      <c r="CZ13" s="13">
        <v>4634</v>
      </c>
      <c r="DA13" s="13">
        <v>4634</v>
      </c>
      <c r="DB13" s="13">
        <v>4634</v>
      </c>
      <c r="DC13" s="13">
        <v>4634</v>
      </c>
      <c r="DD13" s="13">
        <v>4634</v>
      </c>
      <c r="DE13" s="13">
        <v>4634</v>
      </c>
      <c r="DF13" s="13">
        <v>4634</v>
      </c>
      <c r="DG13" s="13">
        <v>4634</v>
      </c>
      <c r="DH13" s="13">
        <v>4634</v>
      </c>
      <c r="DI13" s="13">
        <v>4634</v>
      </c>
      <c r="DJ13" s="13">
        <v>4634</v>
      </c>
      <c r="DK13" s="13">
        <v>4634</v>
      </c>
      <c r="DL13" s="13">
        <v>4634</v>
      </c>
      <c r="DM13" s="13">
        <v>4634</v>
      </c>
      <c r="DN13" s="13">
        <v>4634</v>
      </c>
      <c r="DO13" s="13">
        <v>4634</v>
      </c>
      <c r="DP13" s="13">
        <v>4634</v>
      </c>
      <c r="DQ13" s="13">
        <v>4634</v>
      </c>
      <c r="DR13" s="13">
        <v>4634</v>
      </c>
      <c r="DS13" s="13">
        <v>4634</v>
      </c>
      <c r="DT13" s="13">
        <v>4634</v>
      </c>
      <c r="DU13" s="13">
        <v>4634</v>
      </c>
      <c r="DV13" s="13">
        <v>4634</v>
      </c>
      <c r="DW13" s="13">
        <v>4634</v>
      </c>
      <c r="DX13" s="13">
        <v>4634</v>
      </c>
      <c r="DY13" s="13">
        <v>4634</v>
      </c>
      <c r="DZ13" s="13">
        <v>4634</v>
      </c>
      <c r="EA13" s="13">
        <v>4634</v>
      </c>
      <c r="EB13" s="13">
        <v>4634</v>
      </c>
      <c r="EC13" s="13">
        <v>4634</v>
      </c>
      <c r="ED13" s="13">
        <v>4634</v>
      </c>
      <c r="EE13" s="13">
        <v>4634</v>
      </c>
      <c r="EF13" s="13">
        <v>4634</v>
      </c>
      <c r="EG13" s="13">
        <v>4634</v>
      </c>
      <c r="EH13" s="13">
        <v>4634</v>
      </c>
      <c r="EI13" s="13">
        <v>4634</v>
      </c>
      <c r="EJ13" s="13">
        <v>4634</v>
      </c>
      <c r="EK13" s="13">
        <v>4634</v>
      </c>
      <c r="EL13" s="13">
        <v>4634</v>
      </c>
      <c r="EM13" s="13">
        <v>4634</v>
      </c>
      <c r="EN13" s="13">
        <v>4634</v>
      </c>
      <c r="EO13" s="13">
        <v>4634</v>
      </c>
      <c r="EP13" s="13">
        <v>4634</v>
      </c>
      <c r="EQ13" s="13">
        <v>4634</v>
      </c>
      <c r="ER13" s="13">
        <v>4634</v>
      </c>
      <c r="ES13" s="13">
        <v>4634</v>
      </c>
      <c r="ET13" s="13">
        <v>4634</v>
      </c>
      <c r="EU13" s="13">
        <v>4634</v>
      </c>
      <c r="EV13" s="13">
        <v>4634</v>
      </c>
      <c r="EW13" s="13">
        <v>4634</v>
      </c>
      <c r="EX13" s="13">
        <v>4634</v>
      </c>
      <c r="EY13" s="13">
        <v>4634</v>
      </c>
      <c r="EZ13" s="13">
        <v>4634</v>
      </c>
      <c r="FA13" s="13">
        <v>4634</v>
      </c>
      <c r="FB13" s="13">
        <v>4634</v>
      </c>
      <c r="FC13" s="13">
        <v>4634</v>
      </c>
      <c r="FD13" s="13">
        <v>4634</v>
      </c>
      <c r="FE13" s="13">
        <v>4634</v>
      </c>
      <c r="FF13" s="13">
        <v>4634</v>
      </c>
      <c r="FG13" s="13">
        <v>4634</v>
      </c>
      <c r="FH13" s="13">
        <v>4634</v>
      </c>
      <c r="FI13" s="13">
        <v>4634</v>
      </c>
      <c r="FJ13" s="13">
        <v>4634</v>
      </c>
      <c r="FK13" s="13">
        <v>4634</v>
      </c>
      <c r="FL13" s="13">
        <v>4634</v>
      </c>
      <c r="FM13" s="13">
        <v>4634</v>
      </c>
      <c r="FN13" s="13">
        <v>4634</v>
      </c>
      <c r="FO13" s="13">
        <v>4634</v>
      </c>
      <c r="FP13" s="13">
        <v>4634</v>
      </c>
      <c r="FQ13" s="13">
        <v>4634</v>
      </c>
      <c r="FR13" s="13">
        <v>4634</v>
      </c>
      <c r="FS13" s="13">
        <v>4634</v>
      </c>
      <c r="FT13" s="13">
        <v>4634</v>
      </c>
      <c r="FU13" s="13">
        <v>4634</v>
      </c>
      <c r="FV13" s="13">
        <v>4634</v>
      </c>
      <c r="FW13" s="13">
        <v>4634</v>
      </c>
      <c r="FX13" s="13">
        <v>4634</v>
      </c>
      <c r="FY13" s="13">
        <v>4634</v>
      </c>
      <c r="FZ13" s="13">
        <v>4634</v>
      </c>
      <c r="GA13" s="13">
        <v>4634</v>
      </c>
      <c r="GB13" s="13">
        <v>4634</v>
      </c>
      <c r="GC13" s="13">
        <v>4634</v>
      </c>
      <c r="GD13" s="13">
        <v>4634</v>
      </c>
      <c r="GE13" s="13">
        <v>4634</v>
      </c>
      <c r="GF13" s="13">
        <v>4634</v>
      </c>
      <c r="GG13" s="13">
        <v>4634</v>
      </c>
      <c r="GH13" s="13">
        <v>4634</v>
      </c>
      <c r="GI13" s="13">
        <v>4634</v>
      </c>
      <c r="GJ13" s="13">
        <v>4634</v>
      </c>
      <c r="GK13" s="13">
        <v>4634</v>
      </c>
      <c r="GL13" s="13">
        <v>4634</v>
      </c>
      <c r="GM13" s="13">
        <v>4634</v>
      </c>
      <c r="GN13" s="13">
        <v>4634</v>
      </c>
      <c r="GO13" s="13">
        <v>4634</v>
      </c>
      <c r="GP13" s="13">
        <v>4634</v>
      </c>
      <c r="GQ13" s="13">
        <v>4634</v>
      </c>
      <c r="GR13" s="13">
        <v>4634</v>
      </c>
      <c r="GS13" s="13">
        <v>4634</v>
      </c>
      <c r="GT13" s="13">
        <v>4634</v>
      </c>
      <c r="GU13" s="13">
        <v>4634</v>
      </c>
      <c r="GV13" s="13">
        <v>4634</v>
      </c>
      <c r="GW13" s="13">
        <v>4634</v>
      </c>
      <c r="GX13" s="13">
        <v>4634</v>
      </c>
      <c r="GY13" s="13">
        <v>4634</v>
      </c>
      <c r="GZ13" s="13">
        <v>4634</v>
      </c>
      <c r="HA13" s="13">
        <v>4634</v>
      </c>
      <c r="HB13" s="13">
        <v>4634</v>
      </c>
      <c r="HC13" s="13">
        <v>4634</v>
      </c>
      <c r="HD13" s="13">
        <v>4634</v>
      </c>
      <c r="HE13" s="13">
        <v>4634</v>
      </c>
      <c r="HF13" s="13">
        <v>4634</v>
      </c>
      <c r="HG13" s="13">
        <v>4634</v>
      </c>
      <c r="HH13" s="13">
        <v>4634</v>
      </c>
      <c r="HI13" s="13">
        <v>4634</v>
      </c>
      <c r="HJ13" s="13">
        <v>4634</v>
      </c>
      <c r="HK13" s="13">
        <v>4634</v>
      </c>
      <c r="HL13" s="13">
        <v>4634</v>
      </c>
      <c r="HM13" s="13">
        <v>4634</v>
      </c>
      <c r="HN13" s="13">
        <v>4634</v>
      </c>
      <c r="HO13" s="13">
        <v>4634</v>
      </c>
      <c r="HP13" s="13">
        <v>4634</v>
      </c>
      <c r="HQ13" s="13">
        <v>4634</v>
      </c>
      <c r="HR13" s="13">
        <v>4634</v>
      </c>
      <c r="HS13" s="13">
        <v>4634</v>
      </c>
      <c r="HT13" s="13">
        <v>4634</v>
      </c>
      <c r="HU13" s="13">
        <v>4634</v>
      </c>
      <c r="HV13" s="13">
        <v>4634</v>
      </c>
      <c r="HW13" s="13">
        <v>4634</v>
      </c>
      <c r="HX13" s="13">
        <v>4634</v>
      </c>
      <c r="HY13" s="13">
        <v>4634</v>
      </c>
      <c r="HZ13" s="13">
        <v>4634</v>
      </c>
      <c r="IA13" s="13">
        <v>4634</v>
      </c>
      <c r="IB13" s="13">
        <v>4634</v>
      </c>
      <c r="IC13" s="13">
        <v>4634</v>
      </c>
      <c r="ID13" s="13">
        <v>4634</v>
      </c>
      <c r="IE13" s="13">
        <v>4634</v>
      </c>
      <c r="IF13" s="13">
        <v>4634</v>
      </c>
      <c r="IG13" s="13">
        <v>4634</v>
      </c>
      <c r="IH13" s="13">
        <v>4634</v>
      </c>
      <c r="II13" s="13">
        <v>4634</v>
      </c>
      <c r="IJ13" s="13">
        <v>4634</v>
      </c>
      <c r="IK13" s="13">
        <v>4634</v>
      </c>
      <c r="IL13" s="13">
        <v>4634</v>
      </c>
      <c r="IM13" s="13">
        <v>4634</v>
      </c>
      <c r="IN13" s="13">
        <v>4634</v>
      </c>
      <c r="IO13" s="13">
        <v>4634</v>
      </c>
      <c r="IP13" s="13">
        <v>4634</v>
      </c>
      <c r="IQ13" s="13">
        <v>4634</v>
      </c>
      <c r="IR13" s="13">
        <v>4634</v>
      </c>
      <c r="IS13" s="13">
        <v>4634</v>
      </c>
      <c r="IT13" s="13">
        <v>4634</v>
      </c>
      <c r="IU13" s="13">
        <v>4634</v>
      </c>
      <c r="IV13" s="13">
        <v>4634</v>
      </c>
      <c r="IW13" s="13">
        <v>4634</v>
      </c>
      <c r="IX13" s="13">
        <v>4634</v>
      </c>
      <c r="IY13" s="13">
        <v>4634</v>
      </c>
      <c r="IZ13" s="13">
        <v>4634</v>
      </c>
      <c r="JA13" s="13">
        <v>4634</v>
      </c>
      <c r="JB13" s="13">
        <v>4634</v>
      </c>
      <c r="JC13" s="13">
        <v>4634</v>
      </c>
      <c r="JD13" s="13">
        <v>4634</v>
      </c>
      <c r="JE13" s="13">
        <v>4634</v>
      </c>
      <c r="JF13" s="13">
        <v>4634</v>
      </c>
      <c r="JG13" s="13">
        <v>4634</v>
      </c>
      <c r="JH13" s="13">
        <v>4634</v>
      </c>
      <c r="JI13" s="13">
        <v>4634</v>
      </c>
      <c r="JJ13" s="13">
        <v>4634</v>
      </c>
      <c r="JK13" s="13">
        <v>4634</v>
      </c>
      <c r="JL13" s="13">
        <v>4634</v>
      </c>
      <c r="JM13" s="13">
        <v>4634</v>
      </c>
      <c r="JN13" s="13">
        <v>4634</v>
      </c>
      <c r="JO13" s="13">
        <v>4634</v>
      </c>
      <c r="JP13" s="13">
        <v>4634</v>
      </c>
      <c r="JQ13" s="13">
        <v>4634</v>
      </c>
      <c r="JR13" s="13">
        <v>4634</v>
      </c>
      <c r="JS13" s="13">
        <v>4634</v>
      </c>
      <c r="JT13" s="13">
        <v>4634</v>
      </c>
      <c r="JU13" s="13">
        <v>4633</v>
      </c>
      <c r="JV13" s="13">
        <v>4633</v>
      </c>
      <c r="JW13" s="13">
        <v>4633</v>
      </c>
      <c r="JX13" s="13">
        <v>4633</v>
      </c>
      <c r="JY13" s="13">
        <v>4633</v>
      </c>
      <c r="JZ13" s="13">
        <v>4633</v>
      </c>
      <c r="KA13" s="13">
        <v>4633</v>
      </c>
      <c r="KB13" s="13">
        <v>4633</v>
      </c>
      <c r="KC13" s="13">
        <v>4633</v>
      </c>
      <c r="KD13" s="13">
        <v>4633</v>
      </c>
      <c r="KE13" s="13">
        <v>4633</v>
      </c>
      <c r="KF13" s="13">
        <v>4633</v>
      </c>
      <c r="KG13" s="13">
        <v>4633</v>
      </c>
      <c r="KH13" s="13">
        <v>4633</v>
      </c>
      <c r="KI13" s="13">
        <v>4633</v>
      </c>
      <c r="KJ13" s="13">
        <v>4633</v>
      </c>
      <c r="KK13" s="13">
        <v>4633</v>
      </c>
      <c r="KL13" s="13">
        <v>4633</v>
      </c>
      <c r="KM13" s="13">
        <v>4633</v>
      </c>
      <c r="KN13" s="13">
        <v>4633</v>
      </c>
      <c r="KO13" s="13">
        <v>4632</v>
      </c>
      <c r="KP13" s="13">
        <v>4632</v>
      </c>
      <c r="KQ13" s="13">
        <v>4632</v>
      </c>
      <c r="KR13" s="13">
        <v>4632</v>
      </c>
      <c r="KS13" s="13">
        <v>4632</v>
      </c>
      <c r="KT13" s="13">
        <v>4632</v>
      </c>
      <c r="KU13" s="13">
        <v>4632</v>
      </c>
      <c r="KV13" s="13">
        <v>4632</v>
      </c>
      <c r="KW13" s="13">
        <v>4632</v>
      </c>
      <c r="KX13" s="13">
        <v>4632</v>
      </c>
      <c r="KY13" s="13">
        <v>3342</v>
      </c>
      <c r="KZ13" s="13">
        <v>3342</v>
      </c>
      <c r="LA13" s="13">
        <v>3341</v>
      </c>
      <c r="LB13" s="13">
        <v>3341</v>
      </c>
      <c r="LC13" s="13">
        <v>3339</v>
      </c>
      <c r="LD13" s="13">
        <v>3339</v>
      </c>
      <c r="LE13" s="13">
        <v>3336</v>
      </c>
      <c r="LF13" s="13">
        <v>3335</v>
      </c>
      <c r="LG13" s="13">
        <v>3333</v>
      </c>
      <c r="LH13" s="13">
        <v>3331</v>
      </c>
      <c r="LI13" s="13">
        <v>3331</v>
      </c>
      <c r="LJ13" s="13">
        <v>3329</v>
      </c>
      <c r="LK13" s="13">
        <v>3326</v>
      </c>
      <c r="LL13" s="13">
        <v>3322</v>
      </c>
      <c r="LM13" s="13">
        <v>3318</v>
      </c>
      <c r="LN13" s="13">
        <v>3312</v>
      </c>
      <c r="LO13" s="13">
        <v>3305</v>
      </c>
      <c r="LP13" s="13">
        <v>3304</v>
      </c>
      <c r="LQ13" s="13">
        <v>3300</v>
      </c>
      <c r="LR13" s="13">
        <v>3295</v>
      </c>
      <c r="LS13" s="13">
        <v>3292</v>
      </c>
      <c r="LT13" s="13">
        <v>3287</v>
      </c>
      <c r="LU13" s="13">
        <v>3281</v>
      </c>
      <c r="LV13" s="13">
        <v>3277</v>
      </c>
      <c r="LW13" s="13">
        <v>3270</v>
      </c>
      <c r="LX13" s="13">
        <v>3261</v>
      </c>
      <c r="LY13" s="13">
        <v>3255</v>
      </c>
      <c r="LZ13" s="13">
        <v>3248</v>
      </c>
      <c r="MA13" s="13">
        <v>3245</v>
      </c>
      <c r="MB13" s="13">
        <v>3237</v>
      </c>
      <c r="MC13" s="13">
        <v>3226</v>
      </c>
      <c r="MD13" s="13">
        <v>3213</v>
      </c>
      <c r="ME13" s="13">
        <v>3199</v>
      </c>
      <c r="MF13" s="13">
        <v>3189</v>
      </c>
      <c r="MG13" s="13">
        <v>3176</v>
      </c>
      <c r="MH13" s="13">
        <v>3169</v>
      </c>
      <c r="MI13" s="13">
        <v>3158</v>
      </c>
      <c r="MJ13" s="13">
        <v>3136</v>
      </c>
      <c r="MK13" s="13">
        <v>3119</v>
      </c>
      <c r="ML13" s="13">
        <v>3097</v>
      </c>
      <c r="MM13" s="13">
        <v>3070</v>
      </c>
      <c r="MN13" s="13">
        <v>3042</v>
      </c>
      <c r="MO13" s="13">
        <v>3012</v>
      </c>
      <c r="MP13" s="13">
        <v>2981</v>
      </c>
      <c r="MQ13" s="13">
        <v>2943</v>
      </c>
      <c r="MR13" s="13">
        <v>2912</v>
      </c>
      <c r="MS13" s="13">
        <v>2870</v>
      </c>
      <c r="MT13" s="13">
        <v>2835</v>
      </c>
      <c r="MU13" s="13">
        <v>2788</v>
      </c>
      <c r="MV13" s="13">
        <v>2744</v>
      </c>
      <c r="MW13" s="13">
        <v>2715</v>
      </c>
      <c r="MX13" s="13">
        <v>2663</v>
      </c>
      <c r="MY13" s="13">
        <v>2592</v>
      </c>
      <c r="MZ13" s="13">
        <v>2442</v>
      </c>
      <c r="NA13" s="13">
        <v>2345</v>
      </c>
      <c r="NB13" s="13">
        <v>2236</v>
      </c>
      <c r="NC13" s="13">
        <v>2118</v>
      </c>
      <c r="ND13" s="13">
        <v>2004</v>
      </c>
      <c r="NE13" s="13">
        <v>1868</v>
      </c>
      <c r="NF13" s="13">
        <v>1770</v>
      </c>
      <c r="NG13" s="13">
        <v>1665</v>
      </c>
      <c r="NH13" s="13">
        <v>1523</v>
      </c>
      <c r="NI13" s="11">
        <v>1380</v>
      </c>
      <c r="NJ13" s="11">
        <v>1367</v>
      </c>
      <c r="NK13" s="13">
        <v>1113</v>
      </c>
      <c r="NL13" s="13">
        <v>1016</v>
      </c>
      <c r="NM13" s="11">
        <v>908</v>
      </c>
      <c r="NN13" s="11">
        <v>811</v>
      </c>
      <c r="NO13" s="11">
        <v>722</v>
      </c>
      <c r="NP13" s="11">
        <v>636</v>
      </c>
      <c r="NQ13" s="11">
        <v>563</v>
      </c>
      <c r="NR13" s="11">
        <v>490</v>
      </c>
      <c r="NS13" s="11">
        <v>425</v>
      </c>
      <c r="NT13" s="11">
        <v>361</v>
      </c>
      <c r="NU13" s="11">
        <v>304</v>
      </c>
      <c r="NV13" s="11">
        <v>259</v>
      </c>
      <c r="NW13" s="11">
        <v>213</v>
      </c>
      <c r="NX13" s="11">
        <v>170</v>
      </c>
      <c r="NY13" s="11">
        <v>132</v>
      </c>
      <c r="NZ13" s="11">
        <v>106</v>
      </c>
      <c r="OA13" s="11">
        <v>80</v>
      </c>
      <c r="OB13" s="11">
        <v>56</v>
      </c>
      <c r="OC13" s="11">
        <v>41</v>
      </c>
      <c r="OD13" s="11">
        <v>25</v>
      </c>
      <c r="OE13" s="11">
        <v>17</v>
      </c>
    </row>
    <row r="14" spans="1:397">
      <c r="A14" s="13" t="s">
        <v>44</v>
      </c>
      <c r="B14" s="13">
        <v>89816</v>
      </c>
      <c r="C14" s="13">
        <v>89806</v>
      </c>
      <c r="D14" s="13">
        <v>89795</v>
      </c>
      <c r="E14" s="13">
        <v>89788</v>
      </c>
      <c r="F14" s="13">
        <v>89772</v>
      </c>
      <c r="G14" s="13">
        <v>89763</v>
      </c>
      <c r="H14" s="13">
        <v>89756</v>
      </c>
      <c r="I14" s="13">
        <v>89748</v>
      </c>
      <c r="J14" s="13">
        <v>89736</v>
      </c>
      <c r="K14" s="13">
        <v>89734</v>
      </c>
      <c r="L14" s="13">
        <v>89720</v>
      </c>
      <c r="M14" s="13">
        <v>89706</v>
      </c>
      <c r="N14" s="13">
        <v>89692</v>
      </c>
      <c r="O14" s="13">
        <v>89681</v>
      </c>
      <c r="P14" s="13">
        <v>89669</v>
      </c>
      <c r="Q14" s="13">
        <v>89649</v>
      </c>
      <c r="R14" s="13">
        <v>89619</v>
      </c>
      <c r="S14" s="13">
        <v>89594</v>
      </c>
      <c r="T14" s="13">
        <v>89564</v>
      </c>
      <c r="U14" s="13">
        <v>89522</v>
      </c>
      <c r="V14" s="13">
        <v>89430</v>
      </c>
      <c r="W14" s="13">
        <v>89378</v>
      </c>
      <c r="X14" s="13">
        <v>89326</v>
      </c>
      <c r="Y14" s="13">
        <v>89272</v>
      </c>
      <c r="Z14" s="13">
        <v>89197</v>
      </c>
      <c r="AA14" s="13">
        <v>89115</v>
      </c>
      <c r="AB14" s="13">
        <v>88991</v>
      </c>
      <c r="AC14" s="13">
        <v>88911</v>
      </c>
      <c r="AD14" s="13">
        <v>88804</v>
      </c>
      <c r="AE14" s="13">
        <v>88701</v>
      </c>
      <c r="AF14" s="13">
        <v>88557</v>
      </c>
      <c r="AG14" s="13">
        <v>88454</v>
      </c>
      <c r="AH14" s="13">
        <v>88336</v>
      </c>
      <c r="AI14" s="13">
        <v>88227</v>
      </c>
      <c r="AJ14" s="13">
        <v>88118</v>
      </c>
      <c r="AK14" s="13">
        <v>87988</v>
      </c>
      <c r="AL14" s="13">
        <v>87844</v>
      </c>
      <c r="AM14" s="13">
        <v>87706</v>
      </c>
      <c r="AN14" s="13">
        <v>87591</v>
      </c>
      <c r="AO14" s="13">
        <v>87536</v>
      </c>
      <c r="AP14" s="13">
        <v>87433</v>
      </c>
      <c r="AQ14" s="13">
        <v>87364</v>
      </c>
      <c r="AR14" s="13">
        <v>87331</v>
      </c>
      <c r="AS14" s="13">
        <v>87278</v>
      </c>
      <c r="AT14" s="13">
        <v>87215</v>
      </c>
      <c r="AU14" s="13">
        <v>87183</v>
      </c>
      <c r="AV14" s="13">
        <v>87150</v>
      </c>
      <c r="AW14" s="13">
        <v>87117</v>
      </c>
      <c r="AX14" s="13">
        <v>87093</v>
      </c>
      <c r="AY14" s="13">
        <v>87071</v>
      </c>
      <c r="AZ14" s="13">
        <v>87052</v>
      </c>
      <c r="BA14" s="13">
        <v>87027</v>
      </c>
      <c r="BB14" s="13">
        <v>87003</v>
      </c>
      <c r="BC14" s="13">
        <v>86976</v>
      </c>
      <c r="BD14" s="13">
        <v>86955</v>
      </c>
      <c r="BE14" s="13">
        <v>86933</v>
      </c>
      <c r="BF14" s="13">
        <v>86913</v>
      </c>
      <c r="BG14" s="13">
        <v>86899</v>
      </c>
      <c r="BH14" s="13">
        <v>86882</v>
      </c>
      <c r="BI14" s="13">
        <v>86867</v>
      </c>
      <c r="BJ14" s="13">
        <v>86852</v>
      </c>
      <c r="BK14" s="13">
        <v>86829</v>
      </c>
      <c r="BL14" s="13">
        <v>86806</v>
      </c>
      <c r="BM14" s="13">
        <v>86789</v>
      </c>
      <c r="BN14" s="13">
        <v>86777</v>
      </c>
      <c r="BO14" s="13">
        <v>86770</v>
      </c>
      <c r="BP14" s="13">
        <v>86758</v>
      </c>
      <c r="BQ14" s="13">
        <v>86741</v>
      </c>
      <c r="BR14" s="13">
        <v>86725</v>
      </c>
      <c r="BS14" s="13">
        <v>86701</v>
      </c>
      <c r="BT14" s="13">
        <v>86688</v>
      </c>
      <c r="BU14" s="13">
        <v>86673</v>
      </c>
      <c r="BV14" s="13">
        <v>86661</v>
      </c>
      <c r="BW14" s="13">
        <v>86646</v>
      </c>
      <c r="BX14" s="13">
        <v>86634</v>
      </c>
      <c r="BY14" s="13">
        <v>86619</v>
      </c>
      <c r="BZ14" s="13">
        <v>86601</v>
      </c>
      <c r="CA14" s="13">
        <v>86584</v>
      </c>
      <c r="CB14" s="13">
        <v>86567</v>
      </c>
      <c r="CC14" s="13">
        <v>86551</v>
      </c>
      <c r="CD14" s="13">
        <v>86542</v>
      </c>
      <c r="CE14" s="13">
        <v>86530</v>
      </c>
      <c r="CF14" s="13">
        <v>86512</v>
      </c>
      <c r="CG14" s="13">
        <v>86501</v>
      </c>
      <c r="CH14" s="13">
        <v>86495</v>
      </c>
      <c r="CI14" s="13">
        <v>86490</v>
      </c>
      <c r="CJ14" s="13">
        <v>86469</v>
      </c>
      <c r="CK14" s="13">
        <v>86464</v>
      </c>
      <c r="CL14" s="13">
        <v>86442</v>
      </c>
      <c r="CM14" s="13">
        <v>86431</v>
      </c>
      <c r="CN14" s="13">
        <v>86414</v>
      </c>
      <c r="CO14" s="13">
        <v>86398</v>
      </c>
      <c r="CP14" s="13">
        <v>86381</v>
      </c>
      <c r="CQ14" s="13">
        <v>86369</v>
      </c>
      <c r="CR14" s="13">
        <v>86361</v>
      </c>
      <c r="CS14" s="13">
        <v>86346</v>
      </c>
      <c r="CT14" s="13">
        <v>86338</v>
      </c>
      <c r="CU14" s="13">
        <v>86325</v>
      </c>
      <c r="CV14" s="13">
        <v>86307</v>
      </c>
      <c r="CW14" s="13">
        <v>86299</v>
      </c>
      <c r="CX14" s="13">
        <v>86284</v>
      </c>
      <c r="CY14" s="13">
        <v>86267</v>
      </c>
      <c r="CZ14" s="13">
        <v>86245</v>
      </c>
      <c r="DA14" s="13">
        <v>86212</v>
      </c>
      <c r="DB14" s="13">
        <v>86184</v>
      </c>
      <c r="DC14" s="13">
        <v>86151</v>
      </c>
      <c r="DD14" s="13">
        <v>86115</v>
      </c>
      <c r="DE14" s="13">
        <v>86087</v>
      </c>
      <c r="DF14" s="13">
        <v>86070</v>
      </c>
      <c r="DG14" s="13">
        <v>86021</v>
      </c>
      <c r="DH14" s="13">
        <v>85997</v>
      </c>
      <c r="DI14" s="13">
        <v>85973</v>
      </c>
      <c r="DJ14" s="13">
        <v>85940</v>
      </c>
      <c r="DK14" s="13">
        <v>85915</v>
      </c>
      <c r="DL14" s="13">
        <v>85868</v>
      </c>
      <c r="DM14" s="13">
        <v>85826</v>
      </c>
      <c r="DN14" s="13">
        <v>85810</v>
      </c>
      <c r="DO14" s="13">
        <v>85790</v>
      </c>
      <c r="DP14" s="13">
        <v>85775</v>
      </c>
      <c r="DQ14" s="13">
        <v>85747</v>
      </c>
      <c r="DR14" s="13">
        <v>85729</v>
      </c>
      <c r="DS14" s="13">
        <v>85715</v>
      </c>
      <c r="DT14" s="13">
        <v>85704</v>
      </c>
      <c r="DU14" s="13">
        <v>85685</v>
      </c>
      <c r="DV14" s="13">
        <v>85672</v>
      </c>
      <c r="DW14" s="13">
        <v>85659</v>
      </c>
      <c r="DX14" s="13">
        <v>85646</v>
      </c>
      <c r="DY14" s="13">
        <v>85622</v>
      </c>
      <c r="DZ14" s="13">
        <v>85611</v>
      </c>
      <c r="EA14" s="13">
        <v>85591</v>
      </c>
      <c r="EB14" s="13">
        <v>85578</v>
      </c>
      <c r="EC14" s="13">
        <v>85557</v>
      </c>
      <c r="ED14" s="13">
        <v>85536</v>
      </c>
      <c r="EE14" s="13">
        <v>85521</v>
      </c>
      <c r="EF14" s="13">
        <v>85500</v>
      </c>
      <c r="EG14" s="13">
        <v>85489</v>
      </c>
      <c r="EH14" s="13">
        <v>85482</v>
      </c>
      <c r="EI14" s="13">
        <v>85470</v>
      </c>
      <c r="EJ14" s="13">
        <v>85450</v>
      </c>
      <c r="EK14" s="13">
        <v>85434</v>
      </c>
      <c r="EL14" s="13">
        <v>85424</v>
      </c>
      <c r="EM14" s="13">
        <v>85414</v>
      </c>
      <c r="EN14" s="13">
        <v>85403</v>
      </c>
      <c r="EO14" s="13">
        <v>85384</v>
      </c>
      <c r="EP14" s="13">
        <v>85372</v>
      </c>
      <c r="EQ14" s="13">
        <v>85351</v>
      </c>
      <c r="ER14" s="13">
        <v>85337</v>
      </c>
      <c r="ES14" s="13">
        <v>85322</v>
      </c>
      <c r="ET14" s="13">
        <v>85314</v>
      </c>
      <c r="EU14" s="13">
        <v>85307</v>
      </c>
      <c r="EV14" s="13">
        <v>85297</v>
      </c>
      <c r="EW14" s="13">
        <v>85291</v>
      </c>
      <c r="EX14" s="13">
        <v>85279</v>
      </c>
      <c r="EY14" s="13">
        <v>85269</v>
      </c>
      <c r="EZ14" s="13">
        <v>85255</v>
      </c>
      <c r="FA14" s="13">
        <v>85223</v>
      </c>
      <c r="FB14" s="13">
        <v>85214</v>
      </c>
      <c r="FC14" s="13">
        <v>85202</v>
      </c>
      <c r="FD14" s="13">
        <v>85194</v>
      </c>
      <c r="FE14" s="13">
        <v>85184</v>
      </c>
      <c r="FF14" s="13">
        <v>85174</v>
      </c>
      <c r="FG14" s="13">
        <v>85168</v>
      </c>
      <c r="FH14" s="13">
        <v>85153</v>
      </c>
      <c r="FI14" s="13">
        <v>85146</v>
      </c>
      <c r="FJ14" s="13">
        <v>85144</v>
      </c>
      <c r="FK14" s="13">
        <v>85134</v>
      </c>
      <c r="FL14" s="13">
        <v>85122</v>
      </c>
      <c r="FM14" s="13">
        <v>85112</v>
      </c>
      <c r="FN14" s="13">
        <v>85102</v>
      </c>
      <c r="FO14" s="13">
        <v>85077</v>
      </c>
      <c r="FP14" s="13">
        <v>85058</v>
      </c>
      <c r="FQ14" s="13">
        <v>85066</v>
      </c>
      <c r="FR14" s="13">
        <v>85048</v>
      </c>
      <c r="FS14" s="13">
        <v>85031</v>
      </c>
      <c r="FT14" s="13">
        <v>85022</v>
      </c>
      <c r="FU14" s="13">
        <v>85013</v>
      </c>
      <c r="FV14" s="13">
        <v>85004</v>
      </c>
      <c r="FW14" s="13">
        <v>84996</v>
      </c>
      <c r="FX14" s="13">
        <v>84981</v>
      </c>
      <c r="FY14" s="13">
        <v>84967</v>
      </c>
      <c r="FZ14" s="13">
        <v>84951</v>
      </c>
      <c r="GA14" s="13">
        <v>84939</v>
      </c>
      <c r="GB14" s="13">
        <v>84917</v>
      </c>
      <c r="GC14" s="13">
        <v>84895</v>
      </c>
      <c r="GD14" s="13">
        <v>84888</v>
      </c>
      <c r="GE14" s="13">
        <v>84871</v>
      </c>
      <c r="GF14" s="13">
        <v>84849</v>
      </c>
      <c r="GG14" s="13">
        <v>84827</v>
      </c>
      <c r="GH14" s="13">
        <v>84808</v>
      </c>
      <c r="GI14" s="13">
        <v>84786</v>
      </c>
      <c r="GJ14" s="13">
        <v>84756</v>
      </c>
      <c r="GK14" s="13">
        <v>84737</v>
      </c>
      <c r="GL14" s="13">
        <v>84712</v>
      </c>
      <c r="GM14" s="13">
        <v>84668</v>
      </c>
      <c r="GN14" s="13">
        <v>84619</v>
      </c>
      <c r="GO14" s="13">
        <v>84596</v>
      </c>
      <c r="GP14" s="13">
        <v>84565</v>
      </c>
      <c r="GQ14" s="13">
        <v>84528</v>
      </c>
      <c r="GR14" s="13">
        <v>84491</v>
      </c>
      <c r="GS14" s="13">
        <v>84464</v>
      </c>
      <c r="GT14" s="13">
        <v>84428</v>
      </c>
      <c r="GU14" s="13">
        <v>84385</v>
      </c>
      <c r="GV14" s="13">
        <v>84337</v>
      </c>
      <c r="GW14" s="13">
        <v>84292</v>
      </c>
      <c r="GX14" s="13">
        <v>84165</v>
      </c>
      <c r="GY14" s="13">
        <v>84060</v>
      </c>
      <c r="GZ14" s="13">
        <v>83959</v>
      </c>
      <c r="HA14" s="13">
        <v>83891</v>
      </c>
      <c r="HB14" s="13">
        <v>83830</v>
      </c>
      <c r="HC14" s="13">
        <v>83784</v>
      </c>
      <c r="HD14" s="13">
        <v>83750</v>
      </c>
      <c r="HE14" s="13">
        <v>83729</v>
      </c>
      <c r="HF14" s="13">
        <v>83707</v>
      </c>
      <c r="HG14" s="13">
        <v>83693</v>
      </c>
      <c r="HH14" s="13">
        <v>83682</v>
      </c>
      <c r="HI14" s="13">
        <v>83660</v>
      </c>
      <c r="HJ14" s="13">
        <v>83644</v>
      </c>
      <c r="HK14" s="13">
        <v>83622</v>
      </c>
      <c r="HL14" s="13">
        <v>83612</v>
      </c>
      <c r="HM14" s="13">
        <v>83611</v>
      </c>
      <c r="HN14" s="13">
        <v>83605</v>
      </c>
      <c r="HO14" s="13">
        <v>83602</v>
      </c>
      <c r="HP14" s="13">
        <v>83594</v>
      </c>
      <c r="HQ14" s="13">
        <v>83587</v>
      </c>
      <c r="HR14" s="13">
        <v>83585</v>
      </c>
      <c r="HS14" s="13">
        <v>83581</v>
      </c>
      <c r="HT14" s="13">
        <v>83572</v>
      </c>
      <c r="HU14" s="13">
        <v>83565</v>
      </c>
      <c r="HV14" s="13">
        <v>83557</v>
      </c>
      <c r="HW14" s="13">
        <v>83553</v>
      </c>
      <c r="HX14" s="13">
        <v>83545</v>
      </c>
      <c r="HY14" s="13">
        <v>83542</v>
      </c>
      <c r="HZ14" s="13">
        <v>83537</v>
      </c>
      <c r="IA14" s="13">
        <v>83534</v>
      </c>
      <c r="IB14" s="13">
        <v>83531</v>
      </c>
      <c r="IC14" s="13">
        <v>83512</v>
      </c>
      <c r="ID14" s="13">
        <v>83500</v>
      </c>
      <c r="IE14" s="13">
        <v>83483</v>
      </c>
      <c r="IF14" s="13">
        <v>83462</v>
      </c>
      <c r="IG14" s="13">
        <v>83449</v>
      </c>
      <c r="IH14" s="13">
        <v>83430</v>
      </c>
      <c r="II14" s="13">
        <v>83418</v>
      </c>
      <c r="IJ14" s="13">
        <v>83396</v>
      </c>
      <c r="IK14" s="13">
        <v>83378</v>
      </c>
      <c r="IL14" s="13">
        <v>83352</v>
      </c>
      <c r="IM14" s="13">
        <v>83325</v>
      </c>
      <c r="IN14" s="13">
        <v>83293</v>
      </c>
      <c r="IO14" s="13">
        <v>83265</v>
      </c>
      <c r="IP14" s="13">
        <v>83221</v>
      </c>
      <c r="IQ14" s="13">
        <v>83181</v>
      </c>
      <c r="IR14" s="13">
        <v>83132</v>
      </c>
      <c r="IS14" s="13">
        <v>83075</v>
      </c>
      <c r="IT14" s="13">
        <v>83064</v>
      </c>
      <c r="IU14" s="13">
        <v>83057</v>
      </c>
      <c r="IV14" s="13">
        <v>83046</v>
      </c>
      <c r="IW14" s="13">
        <v>83043</v>
      </c>
      <c r="IX14" s="13">
        <v>83040</v>
      </c>
      <c r="IY14" s="13">
        <v>83036</v>
      </c>
      <c r="IZ14" s="13">
        <v>83030</v>
      </c>
      <c r="JA14" s="13">
        <v>83027</v>
      </c>
      <c r="JB14" s="13">
        <v>83022</v>
      </c>
      <c r="JC14" s="13">
        <v>83021</v>
      </c>
      <c r="JD14" s="13">
        <v>83022</v>
      </c>
      <c r="JE14" s="13">
        <v>83017</v>
      </c>
      <c r="JF14" s="13">
        <v>83001</v>
      </c>
      <c r="JG14" s="13">
        <v>82999</v>
      </c>
      <c r="JH14" s="13">
        <v>82995</v>
      </c>
      <c r="JI14" s="13">
        <v>82995</v>
      </c>
      <c r="JJ14" s="13">
        <v>82993</v>
      </c>
      <c r="JK14" s="13">
        <v>82992</v>
      </c>
      <c r="JL14" s="13">
        <v>82985</v>
      </c>
      <c r="JM14" s="13">
        <v>82974</v>
      </c>
      <c r="JN14" s="13">
        <v>82971</v>
      </c>
      <c r="JO14" s="13">
        <v>82971</v>
      </c>
      <c r="JP14" s="13">
        <v>82967</v>
      </c>
      <c r="JQ14" s="13">
        <v>82965</v>
      </c>
      <c r="JR14" s="13">
        <v>82960</v>
      </c>
      <c r="JS14" s="13">
        <v>82954</v>
      </c>
      <c r="JT14" s="13">
        <v>82947</v>
      </c>
      <c r="JU14" s="13">
        <v>82941</v>
      </c>
      <c r="JV14" s="13">
        <v>82933</v>
      </c>
      <c r="JW14" s="13">
        <v>82929</v>
      </c>
      <c r="JX14" s="13">
        <v>82926</v>
      </c>
      <c r="JY14" s="13">
        <v>82919</v>
      </c>
      <c r="JZ14" s="13">
        <v>82918</v>
      </c>
      <c r="KA14" s="13">
        <v>82901</v>
      </c>
      <c r="KB14" s="13">
        <v>82887</v>
      </c>
      <c r="KC14" s="13">
        <v>82886</v>
      </c>
      <c r="KD14" s="13">
        <v>82885</v>
      </c>
      <c r="KE14" s="13">
        <v>82883</v>
      </c>
      <c r="KF14" s="13">
        <v>82881</v>
      </c>
      <c r="KG14" s="13">
        <v>82880</v>
      </c>
      <c r="KH14" s="13">
        <v>82877</v>
      </c>
      <c r="KI14" s="13">
        <v>82875</v>
      </c>
      <c r="KJ14" s="13">
        <v>82874</v>
      </c>
      <c r="KK14" s="13">
        <v>82862</v>
      </c>
      <c r="KL14" s="13">
        <v>82858</v>
      </c>
      <c r="KM14" s="13">
        <v>82836</v>
      </c>
      <c r="KN14" s="13">
        <v>82830</v>
      </c>
      <c r="KO14" s="13">
        <v>82827</v>
      </c>
      <c r="KP14" s="13">
        <v>82816</v>
      </c>
      <c r="KQ14" s="13">
        <v>82804</v>
      </c>
      <c r="KR14" s="13">
        <v>82798</v>
      </c>
      <c r="KS14" s="13">
        <v>82788</v>
      </c>
      <c r="KT14" s="13">
        <v>82758</v>
      </c>
      <c r="KU14" s="13">
        <v>82747</v>
      </c>
      <c r="KV14" s="13">
        <v>82735</v>
      </c>
      <c r="KW14" s="13">
        <v>82719</v>
      </c>
      <c r="KX14" s="13">
        <v>82692</v>
      </c>
      <c r="KY14" s="13">
        <v>82341</v>
      </c>
      <c r="KZ14" s="13">
        <v>82295</v>
      </c>
      <c r="LA14" s="13">
        <v>82249</v>
      </c>
      <c r="LB14" s="13">
        <v>82160</v>
      </c>
      <c r="LC14" s="13">
        <v>82052</v>
      </c>
      <c r="LD14" s="13">
        <v>81953</v>
      </c>
      <c r="LE14" s="13">
        <v>81907</v>
      </c>
      <c r="LF14" s="13">
        <v>81865</v>
      </c>
      <c r="LG14" s="13">
        <v>81802</v>
      </c>
      <c r="LH14" s="13">
        <v>81740</v>
      </c>
      <c r="LI14" s="13">
        <v>81708</v>
      </c>
      <c r="LJ14" s="13">
        <v>81669</v>
      </c>
      <c r="LK14" s="13">
        <v>81639</v>
      </c>
      <c r="LL14" s="13">
        <v>81620</v>
      </c>
      <c r="LM14" s="13">
        <v>81589</v>
      </c>
      <c r="LN14" s="13">
        <v>81554</v>
      </c>
      <c r="LO14" s="13">
        <v>81518</v>
      </c>
      <c r="LP14" s="13">
        <v>81470</v>
      </c>
      <c r="LQ14" s="13">
        <v>81439</v>
      </c>
      <c r="LR14" s="13">
        <v>81394</v>
      </c>
      <c r="LS14" s="13">
        <v>81340</v>
      </c>
      <c r="LT14" s="13">
        <v>81285</v>
      </c>
      <c r="LU14" s="13">
        <v>81218</v>
      </c>
      <c r="LV14" s="13">
        <v>81171</v>
      </c>
      <c r="LW14" s="13">
        <v>81093</v>
      </c>
      <c r="LX14" s="13">
        <v>81054</v>
      </c>
      <c r="LY14" s="13">
        <v>81008</v>
      </c>
      <c r="LZ14" s="13">
        <v>80967</v>
      </c>
      <c r="MA14" s="13">
        <v>80928</v>
      </c>
      <c r="MB14" s="13">
        <v>80894</v>
      </c>
      <c r="MC14" s="13">
        <v>80881</v>
      </c>
      <c r="MD14" s="13">
        <v>80860</v>
      </c>
      <c r="ME14" s="13">
        <v>80844</v>
      </c>
      <c r="MF14" s="13">
        <v>80824</v>
      </c>
      <c r="MG14" s="13">
        <v>80813</v>
      </c>
      <c r="MH14" s="13">
        <v>80793</v>
      </c>
      <c r="MI14" s="13">
        <v>80778</v>
      </c>
      <c r="MJ14" s="13">
        <v>80754</v>
      </c>
      <c r="MK14" s="13">
        <v>80735</v>
      </c>
      <c r="ML14" s="13">
        <v>80695</v>
      </c>
      <c r="MM14" s="13">
        <v>80651</v>
      </c>
      <c r="MN14" s="13">
        <v>80552</v>
      </c>
      <c r="MO14" s="13">
        <v>80409</v>
      </c>
      <c r="MP14" s="13">
        <v>80270</v>
      </c>
      <c r="MQ14" s="13">
        <v>80151</v>
      </c>
      <c r="MR14" s="13">
        <v>80027</v>
      </c>
      <c r="MS14" s="13">
        <v>79824</v>
      </c>
      <c r="MT14" s="13">
        <v>79251</v>
      </c>
      <c r="MU14" s="13">
        <v>78824</v>
      </c>
      <c r="MV14" s="13">
        <v>78497</v>
      </c>
      <c r="MW14" s="13">
        <v>78064</v>
      </c>
      <c r="MX14" s="13">
        <v>77658</v>
      </c>
      <c r="MY14" s="13">
        <v>77150</v>
      </c>
      <c r="MZ14" s="13">
        <v>76936</v>
      </c>
      <c r="NA14" s="13">
        <v>76288</v>
      </c>
      <c r="NB14" s="13">
        <v>75891</v>
      </c>
      <c r="NC14" s="13">
        <v>75002</v>
      </c>
      <c r="ND14" s="13">
        <v>74185</v>
      </c>
      <c r="NE14" s="13">
        <v>72436</v>
      </c>
      <c r="NF14" s="13">
        <v>70548</v>
      </c>
      <c r="NG14" s="13">
        <v>68500</v>
      </c>
      <c r="NH14" s="13">
        <v>66492</v>
      </c>
      <c r="NI14" s="11">
        <v>63851</v>
      </c>
      <c r="NJ14" s="11">
        <v>59804</v>
      </c>
      <c r="NK14" s="13">
        <v>44653</v>
      </c>
      <c r="NL14" s="13">
        <v>42638</v>
      </c>
      <c r="NM14" s="11">
        <v>40171</v>
      </c>
      <c r="NN14" s="11">
        <v>37198</v>
      </c>
      <c r="NO14" s="11">
        <v>34546</v>
      </c>
      <c r="NP14" s="11">
        <v>31161</v>
      </c>
      <c r="NQ14" s="11">
        <v>28018</v>
      </c>
      <c r="NR14" s="11">
        <v>24324</v>
      </c>
      <c r="NS14" s="11">
        <v>20438</v>
      </c>
      <c r="NT14" s="11">
        <v>17205</v>
      </c>
      <c r="NU14" s="11">
        <v>14380</v>
      </c>
      <c r="NV14" s="11">
        <v>11791</v>
      </c>
      <c r="NW14" s="11">
        <v>9692</v>
      </c>
      <c r="NX14" s="11">
        <v>7711</v>
      </c>
      <c r="NY14" s="11">
        <v>5974</v>
      </c>
      <c r="NZ14" s="11">
        <v>4515</v>
      </c>
      <c r="OA14" s="11">
        <v>2744</v>
      </c>
      <c r="OB14" s="11">
        <v>1975</v>
      </c>
      <c r="OC14" s="11">
        <v>1287</v>
      </c>
      <c r="OD14" s="11">
        <v>830</v>
      </c>
      <c r="OE14" s="11">
        <v>571</v>
      </c>
      <c r="OF14" s="11">
        <v>440</v>
      </c>
      <c r="OG14" s="11">
        <v>291</v>
      </c>
    </row>
    <row r="15" spans="1:397">
      <c r="A15" s="13" t="s">
        <v>50</v>
      </c>
      <c r="B15" s="13">
        <v>4</v>
      </c>
      <c r="C15" s="13">
        <v>6</v>
      </c>
      <c r="D15" s="13">
        <v>6</v>
      </c>
      <c r="E15" s="13">
        <v>1</v>
      </c>
      <c r="F15" s="13">
        <v>1</v>
      </c>
      <c r="G15" s="13">
        <v>1</v>
      </c>
      <c r="H15" s="13">
        <v>1</v>
      </c>
      <c r="I15" s="13">
        <v>2</v>
      </c>
      <c r="J15" s="13">
        <v>2</v>
      </c>
      <c r="K15" s="13">
        <v>2</v>
      </c>
      <c r="L15" s="13">
        <v>2</v>
      </c>
      <c r="M15" s="13">
        <v>3</v>
      </c>
      <c r="N15" s="13">
        <v>3</v>
      </c>
      <c r="O15" s="13">
        <v>2</v>
      </c>
      <c r="P15" s="13">
        <v>4</v>
      </c>
      <c r="Q15" s="13">
        <v>1</v>
      </c>
      <c r="R15" s="13">
        <v>2</v>
      </c>
      <c r="S15" s="13">
        <v>1</v>
      </c>
      <c r="T15" s="13">
        <v>1</v>
      </c>
      <c r="U15" s="13">
        <v>2</v>
      </c>
      <c r="V15" s="13">
        <v>2</v>
      </c>
      <c r="W15" s="13">
        <v>2</v>
      </c>
      <c r="X15" s="13">
        <v>1</v>
      </c>
      <c r="Y15" s="13">
        <v>2</v>
      </c>
      <c r="Z15" s="13">
        <v>4</v>
      </c>
      <c r="AA15" s="13">
        <v>2</v>
      </c>
      <c r="AB15" s="13">
        <v>2</v>
      </c>
      <c r="AC15" s="13">
        <v>3</v>
      </c>
      <c r="AD15" s="13">
        <v>5</v>
      </c>
      <c r="AE15" s="13">
        <v>5</v>
      </c>
      <c r="AF15" s="13">
        <v>0</v>
      </c>
      <c r="AG15" s="13">
        <v>2</v>
      </c>
      <c r="AH15" s="13">
        <v>3</v>
      </c>
      <c r="AI15" s="13">
        <v>2</v>
      </c>
      <c r="AJ15" s="13">
        <v>1</v>
      </c>
      <c r="AK15" s="13">
        <v>1</v>
      </c>
      <c r="AL15" s="13">
        <v>1</v>
      </c>
      <c r="AM15" s="13">
        <v>1</v>
      </c>
      <c r="AN15" s="13">
        <v>0</v>
      </c>
      <c r="AO15" s="13">
        <v>0</v>
      </c>
      <c r="AP15" s="13">
        <v>1</v>
      </c>
      <c r="AQ15" s="13">
        <v>1</v>
      </c>
      <c r="AR15" s="13">
        <v>0</v>
      </c>
      <c r="AS15" s="13">
        <v>0</v>
      </c>
      <c r="AT15" s="13">
        <v>3</v>
      </c>
      <c r="AU15" s="13">
        <v>1</v>
      </c>
      <c r="AV15" s="13">
        <v>1</v>
      </c>
      <c r="AW15" s="13">
        <v>1</v>
      </c>
      <c r="AX15" s="13">
        <v>1</v>
      </c>
      <c r="AY15" s="13">
        <v>1</v>
      </c>
      <c r="AZ15" s="13">
        <v>0</v>
      </c>
      <c r="BA15" s="13">
        <v>0</v>
      </c>
      <c r="BB15" s="13">
        <v>0</v>
      </c>
      <c r="BC15" s="13">
        <v>1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1</v>
      </c>
      <c r="BJ15" s="13">
        <v>7</v>
      </c>
      <c r="BK15" s="13">
        <v>4</v>
      </c>
      <c r="BL15" s="13">
        <v>5</v>
      </c>
      <c r="BM15" s="13">
        <v>4</v>
      </c>
      <c r="BN15" s="13">
        <v>4</v>
      </c>
      <c r="BO15" s="13">
        <v>3</v>
      </c>
      <c r="BP15" s="13">
        <v>2</v>
      </c>
      <c r="BQ15" s="13">
        <v>2</v>
      </c>
      <c r="BR15" s="13">
        <v>2</v>
      </c>
      <c r="BS15" s="13">
        <v>3</v>
      </c>
      <c r="BT15" s="13">
        <v>3</v>
      </c>
      <c r="BU15" s="13">
        <v>3</v>
      </c>
      <c r="BV15" s="13">
        <v>3</v>
      </c>
      <c r="BW15" s="13">
        <v>3</v>
      </c>
      <c r="BX15" s="13">
        <v>5</v>
      </c>
      <c r="BY15" s="13">
        <v>9</v>
      </c>
      <c r="BZ15" s="13">
        <v>8</v>
      </c>
      <c r="CA15" s="13">
        <v>8</v>
      </c>
      <c r="CB15" s="13">
        <v>8</v>
      </c>
      <c r="CC15" s="13">
        <v>7</v>
      </c>
      <c r="CD15" s="13">
        <v>6</v>
      </c>
      <c r="CE15" s="13">
        <v>7</v>
      </c>
      <c r="CF15" s="13">
        <v>7</v>
      </c>
      <c r="CG15" s="13">
        <v>4</v>
      </c>
      <c r="CH15" s="13">
        <v>4</v>
      </c>
      <c r="CI15" s="13">
        <v>5</v>
      </c>
      <c r="CJ15" s="13">
        <v>2</v>
      </c>
      <c r="CK15" s="13">
        <v>1</v>
      </c>
      <c r="CL15" s="13">
        <v>0</v>
      </c>
      <c r="CM15" s="13">
        <v>0</v>
      </c>
      <c r="CN15" s="13">
        <v>0</v>
      </c>
      <c r="CO15" s="13">
        <v>1</v>
      </c>
      <c r="CP15" s="13">
        <v>0</v>
      </c>
      <c r="CQ15" s="13">
        <v>0</v>
      </c>
      <c r="CR15" s="13">
        <v>2</v>
      </c>
      <c r="CS15" s="13">
        <v>3</v>
      </c>
      <c r="CT15" s="13">
        <v>2</v>
      </c>
      <c r="CU15" s="13">
        <v>1</v>
      </c>
      <c r="CV15" s="13">
        <v>2</v>
      </c>
      <c r="CW15" s="13">
        <v>2</v>
      </c>
      <c r="CX15" s="13">
        <v>1</v>
      </c>
      <c r="CY15" s="13">
        <v>2</v>
      </c>
      <c r="CZ15" s="13">
        <v>5</v>
      </c>
      <c r="DA15" s="13">
        <v>6</v>
      </c>
      <c r="DB15" s="13">
        <v>23</v>
      </c>
      <c r="DC15" s="13">
        <v>26</v>
      </c>
      <c r="DD15" s="13">
        <v>4</v>
      </c>
      <c r="DE15" s="13">
        <v>2</v>
      </c>
      <c r="DF15" s="13">
        <v>2</v>
      </c>
      <c r="DG15" s="13">
        <v>1</v>
      </c>
      <c r="DH15" s="13">
        <v>0</v>
      </c>
      <c r="DI15" s="13">
        <v>5</v>
      </c>
      <c r="DJ15" s="13">
        <v>6</v>
      </c>
      <c r="DK15" s="13">
        <v>0</v>
      </c>
      <c r="DL15" s="13">
        <v>0</v>
      </c>
      <c r="DM15" s="13">
        <v>2</v>
      </c>
      <c r="DN15" s="13">
        <v>6</v>
      </c>
      <c r="DO15" s="13">
        <v>5</v>
      </c>
      <c r="DP15" s="13">
        <v>5</v>
      </c>
      <c r="DQ15" s="13">
        <v>7</v>
      </c>
      <c r="DR15" s="13">
        <v>5</v>
      </c>
      <c r="DS15" s="13">
        <v>5</v>
      </c>
      <c r="DT15" s="13">
        <v>6</v>
      </c>
      <c r="DU15" s="13">
        <v>3</v>
      </c>
      <c r="DV15" s="13">
        <v>4</v>
      </c>
      <c r="DW15" s="13">
        <v>5</v>
      </c>
      <c r="DX15" s="13">
        <v>5</v>
      </c>
      <c r="DY15" s="13">
        <v>7</v>
      </c>
      <c r="DZ15" s="13">
        <v>5</v>
      </c>
      <c r="EA15" s="13">
        <v>7</v>
      </c>
      <c r="EB15" s="13">
        <v>9</v>
      </c>
      <c r="EC15" s="13">
        <v>9</v>
      </c>
      <c r="ED15" s="13">
        <v>4</v>
      </c>
      <c r="EE15" s="13">
        <v>5</v>
      </c>
      <c r="EF15" s="13">
        <v>5</v>
      </c>
      <c r="EG15" s="13">
        <v>4</v>
      </c>
      <c r="EH15" s="13">
        <v>4</v>
      </c>
      <c r="EI15" s="13">
        <v>6</v>
      </c>
      <c r="EJ15" s="13">
        <v>7</v>
      </c>
      <c r="EK15" s="13">
        <v>4</v>
      </c>
      <c r="EL15" s="13">
        <v>3</v>
      </c>
      <c r="EM15" s="13">
        <v>3</v>
      </c>
      <c r="EN15" s="13">
        <v>2</v>
      </c>
      <c r="EO15" s="13">
        <v>1</v>
      </c>
      <c r="EP15" s="13">
        <v>2</v>
      </c>
      <c r="EQ15" s="13">
        <v>2</v>
      </c>
      <c r="ER15" s="13">
        <v>2</v>
      </c>
      <c r="ES15" s="13">
        <v>1</v>
      </c>
      <c r="ET15" s="13"/>
      <c r="EU15" s="13">
        <v>0</v>
      </c>
      <c r="EV15" s="13">
        <v>0</v>
      </c>
      <c r="EW15" s="13">
        <v>1</v>
      </c>
      <c r="EX15" s="13">
        <v>2</v>
      </c>
      <c r="EY15" s="13">
        <v>1</v>
      </c>
      <c r="EZ15" s="13">
        <v>2</v>
      </c>
      <c r="FA15" s="13">
        <v>1</v>
      </c>
      <c r="FB15" s="13">
        <v>0</v>
      </c>
      <c r="FC15" s="13">
        <v>2</v>
      </c>
      <c r="FD15" s="13">
        <v>3</v>
      </c>
      <c r="FE15" s="13">
        <v>0</v>
      </c>
      <c r="FF15" s="13">
        <v>1</v>
      </c>
      <c r="FG15" s="13">
        <v>1</v>
      </c>
      <c r="FH15" s="13">
        <v>1</v>
      </c>
      <c r="FI15" s="13">
        <v>6</v>
      </c>
      <c r="FJ15" s="13">
        <v>1</v>
      </c>
      <c r="FK15" s="13">
        <v>1</v>
      </c>
      <c r="FL15" s="13">
        <v>0</v>
      </c>
      <c r="FM15" s="13">
        <v>0</v>
      </c>
      <c r="FN15" s="13">
        <v>0</v>
      </c>
      <c r="FO15" s="13">
        <v>0</v>
      </c>
      <c r="FP15" s="13">
        <v>0</v>
      </c>
      <c r="FQ15" s="13">
        <v>0</v>
      </c>
      <c r="FR15" s="13">
        <v>0</v>
      </c>
      <c r="FS15" s="13">
        <v>0</v>
      </c>
      <c r="FT15" s="13">
        <v>0</v>
      </c>
      <c r="FU15" s="13">
        <v>3</v>
      </c>
      <c r="FV15" s="13">
        <v>1</v>
      </c>
      <c r="FW15" s="13">
        <v>0</v>
      </c>
      <c r="FX15" s="13">
        <v>2</v>
      </c>
      <c r="FY15" s="13">
        <v>2</v>
      </c>
      <c r="FZ15" s="13">
        <v>3</v>
      </c>
      <c r="GA15" s="13">
        <v>1</v>
      </c>
      <c r="GB15" s="13">
        <v>0</v>
      </c>
      <c r="GC15" s="13">
        <v>2</v>
      </c>
      <c r="GD15" s="13">
        <v>2</v>
      </c>
      <c r="GE15" s="13">
        <v>3</v>
      </c>
      <c r="GF15" s="13">
        <v>4</v>
      </c>
      <c r="GG15" s="13">
        <v>3</v>
      </c>
      <c r="GH15" s="13">
        <v>3</v>
      </c>
      <c r="GI15" s="13">
        <v>5</v>
      </c>
      <c r="GJ15" s="13">
        <v>4</v>
      </c>
      <c r="GK15" s="13">
        <v>3</v>
      </c>
      <c r="GL15" s="13">
        <v>2</v>
      </c>
      <c r="GM15" s="13">
        <v>7</v>
      </c>
      <c r="GN15" s="13">
        <v>6</v>
      </c>
      <c r="GO15" s="13">
        <v>7</v>
      </c>
      <c r="GP15" s="13">
        <v>3</v>
      </c>
      <c r="GQ15" s="13">
        <v>2</v>
      </c>
      <c r="GR15" s="13">
        <v>3</v>
      </c>
      <c r="GS15" s="13">
        <v>5</v>
      </c>
      <c r="GT15" s="13">
        <v>4</v>
      </c>
      <c r="GU15" s="13">
        <v>2</v>
      </c>
      <c r="GV15" s="13">
        <v>2</v>
      </c>
      <c r="GW15" s="13">
        <v>2</v>
      </c>
      <c r="GX15" s="13">
        <v>2</v>
      </c>
      <c r="GY15" s="13">
        <v>1</v>
      </c>
      <c r="GZ15" s="13">
        <v>1</v>
      </c>
      <c r="HA15" s="13">
        <v>3</v>
      </c>
      <c r="HB15" s="13">
        <v>3</v>
      </c>
      <c r="HC15" s="13">
        <v>2</v>
      </c>
      <c r="HD15" s="13">
        <v>2</v>
      </c>
      <c r="HE15" s="13">
        <v>4</v>
      </c>
      <c r="HF15" s="13">
        <v>1</v>
      </c>
      <c r="HG15" s="13">
        <v>1</v>
      </c>
      <c r="HH15" s="13">
        <v>4</v>
      </c>
      <c r="HI15" s="13">
        <v>4</v>
      </c>
      <c r="HJ15" s="13">
        <v>4</v>
      </c>
      <c r="HK15" s="13">
        <v>3</v>
      </c>
      <c r="HL15" s="13">
        <v>3</v>
      </c>
      <c r="HM15" s="13">
        <v>3</v>
      </c>
      <c r="HN15" s="13">
        <v>5</v>
      </c>
      <c r="HO15" s="13">
        <v>7</v>
      </c>
      <c r="HP15" s="13">
        <v>7</v>
      </c>
      <c r="HQ15" s="13">
        <v>8</v>
      </c>
      <c r="HR15" s="13">
        <v>8</v>
      </c>
      <c r="HS15" s="13">
        <v>5</v>
      </c>
      <c r="HT15" s="13">
        <v>6</v>
      </c>
      <c r="HU15" s="13">
        <v>7</v>
      </c>
      <c r="HV15" s="13">
        <v>7</v>
      </c>
      <c r="HW15" s="13">
        <v>7</v>
      </c>
      <c r="HX15" s="13">
        <v>7</v>
      </c>
      <c r="HY15" s="13">
        <v>6</v>
      </c>
      <c r="HZ15" s="13">
        <v>5</v>
      </c>
      <c r="IA15" s="13">
        <v>8</v>
      </c>
      <c r="IB15" s="13">
        <v>7</v>
      </c>
      <c r="IC15" s="13">
        <v>10</v>
      </c>
      <c r="ID15" s="13">
        <v>8</v>
      </c>
      <c r="IE15" s="13">
        <v>8</v>
      </c>
      <c r="IF15" s="13">
        <v>10</v>
      </c>
      <c r="IG15" s="13">
        <v>13</v>
      </c>
      <c r="IH15" s="13">
        <v>18</v>
      </c>
      <c r="II15" s="13">
        <v>15</v>
      </c>
      <c r="IJ15" s="13">
        <v>15</v>
      </c>
      <c r="IK15" s="13">
        <v>13</v>
      </c>
      <c r="IL15" s="13">
        <v>11</v>
      </c>
      <c r="IM15" s="13">
        <v>7</v>
      </c>
      <c r="IN15" s="13">
        <v>7</v>
      </c>
      <c r="IO15" s="13">
        <v>7</v>
      </c>
      <c r="IP15" s="13">
        <v>4</v>
      </c>
      <c r="IQ15" s="13">
        <v>3</v>
      </c>
      <c r="IR15" s="13">
        <v>2</v>
      </c>
      <c r="IS15" s="13">
        <v>1</v>
      </c>
      <c r="IT15" s="13">
        <v>1</v>
      </c>
      <c r="IU15" s="13">
        <v>1</v>
      </c>
      <c r="IV15" s="13">
        <v>2</v>
      </c>
      <c r="IW15" s="13">
        <v>1</v>
      </c>
      <c r="IX15" s="13">
        <v>4</v>
      </c>
      <c r="IY15" s="13">
        <v>3</v>
      </c>
      <c r="IZ15" s="13">
        <v>2</v>
      </c>
      <c r="JA15" s="13">
        <v>2</v>
      </c>
      <c r="JB15" s="13">
        <v>3</v>
      </c>
      <c r="JC15" s="13">
        <v>3</v>
      </c>
      <c r="JD15" s="13">
        <v>2</v>
      </c>
      <c r="JE15" s="13">
        <v>3</v>
      </c>
      <c r="JF15" s="13">
        <v>4</v>
      </c>
      <c r="JG15" s="13">
        <v>5</v>
      </c>
      <c r="JH15" s="13">
        <v>5</v>
      </c>
      <c r="JI15" s="13">
        <v>5</v>
      </c>
      <c r="JJ15" s="13">
        <v>6</v>
      </c>
      <c r="JK15" s="13">
        <v>5</v>
      </c>
      <c r="JL15" s="13">
        <v>6</v>
      </c>
      <c r="JM15" s="13">
        <v>9</v>
      </c>
      <c r="JN15" s="13">
        <v>6</v>
      </c>
      <c r="JO15" s="13">
        <v>7</v>
      </c>
      <c r="JP15" s="13">
        <v>7</v>
      </c>
      <c r="JQ15" s="13">
        <v>7</v>
      </c>
      <c r="JR15" s="13">
        <v>3</v>
      </c>
      <c r="JS15" s="13">
        <v>4</v>
      </c>
      <c r="JT15" s="13">
        <v>4</v>
      </c>
      <c r="JU15" s="13">
        <v>3</v>
      </c>
      <c r="JV15" s="13">
        <v>4</v>
      </c>
      <c r="JW15" s="13">
        <v>4</v>
      </c>
      <c r="JX15" s="13">
        <v>4</v>
      </c>
      <c r="JY15" s="13">
        <v>3</v>
      </c>
      <c r="JZ15" s="13">
        <v>3</v>
      </c>
      <c r="KA15" s="13">
        <v>4</v>
      </c>
      <c r="KB15" s="13">
        <v>8</v>
      </c>
      <c r="KC15" s="13">
        <v>6</v>
      </c>
      <c r="KD15" s="13">
        <v>4</v>
      </c>
      <c r="KE15" s="13">
        <v>5</v>
      </c>
      <c r="KF15" s="13">
        <v>2</v>
      </c>
      <c r="KG15" s="13">
        <v>3</v>
      </c>
      <c r="KH15" s="13">
        <v>10</v>
      </c>
      <c r="KI15" s="13">
        <v>11</v>
      </c>
      <c r="KJ15" s="13">
        <v>9</v>
      </c>
      <c r="KK15" s="13">
        <v>10</v>
      </c>
      <c r="KL15" s="13">
        <v>10</v>
      </c>
      <c r="KM15" s="13">
        <v>9</v>
      </c>
      <c r="KN15" s="13">
        <v>10</v>
      </c>
      <c r="KO15" s="13">
        <v>12</v>
      </c>
      <c r="KP15" s="13">
        <v>17</v>
      </c>
      <c r="KQ15" s="13">
        <v>20</v>
      </c>
      <c r="KR15" s="13">
        <v>20</v>
      </c>
      <c r="KS15" s="13">
        <v>35</v>
      </c>
      <c r="KT15" s="13">
        <v>37</v>
      </c>
      <c r="KU15" s="13">
        <v>43</v>
      </c>
      <c r="KV15" s="13">
        <v>48</v>
      </c>
      <c r="KW15" s="13">
        <v>63</v>
      </c>
      <c r="KX15" s="13">
        <v>62</v>
      </c>
      <c r="KY15" s="13">
        <v>63</v>
      </c>
      <c r="KZ15" s="13">
        <v>73</v>
      </c>
      <c r="LA15" s="13">
        <v>72</v>
      </c>
      <c r="LB15" s="13">
        <v>72</v>
      </c>
      <c r="LC15" s="13">
        <v>82</v>
      </c>
      <c r="LD15" s="13">
        <v>44</v>
      </c>
      <c r="LE15" s="13">
        <v>53</v>
      </c>
      <c r="LF15" s="13">
        <v>73</v>
      </c>
      <c r="LG15" s="13">
        <v>83</v>
      </c>
      <c r="LH15" s="13">
        <v>89</v>
      </c>
      <c r="LI15" s="13">
        <v>88</v>
      </c>
      <c r="LJ15" s="13">
        <v>107</v>
      </c>
      <c r="LK15" s="13">
        <v>114</v>
      </c>
      <c r="LL15" s="13">
        <v>135</v>
      </c>
      <c r="LM15" s="13">
        <v>153</v>
      </c>
      <c r="LN15" s="13">
        <v>172</v>
      </c>
      <c r="LO15" s="13">
        <v>183</v>
      </c>
      <c r="LP15" s="13">
        <v>168</v>
      </c>
      <c r="LQ15" s="13">
        <v>174</v>
      </c>
      <c r="LR15" s="13">
        <v>184</v>
      </c>
      <c r="LS15" s="13">
        <v>189</v>
      </c>
      <c r="LT15" s="13">
        <v>159</v>
      </c>
      <c r="LU15" s="13">
        <v>134</v>
      </c>
      <c r="LV15" s="13">
        <v>132</v>
      </c>
      <c r="LW15" s="13">
        <v>136</v>
      </c>
      <c r="LX15" s="13">
        <v>118</v>
      </c>
      <c r="LY15" s="13">
        <v>106</v>
      </c>
      <c r="LZ15" s="13">
        <v>104</v>
      </c>
      <c r="MA15" s="13">
        <v>105</v>
      </c>
      <c r="MB15" s="13">
        <v>119</v>
      </c>
      <c r="MC15" s="13">
        <v>128</v>
      </c>
      <c r="MD15" s="13">
        <v>134</v>
      </c>
      <c r="ME15" s="13">
        <v>113</v>
      </c>
      <c r="MF15" s="13">
        <v>115</v>
      </c>
      <c r="MG15" s="13">
        <v>147</v>
      </c>
      <c r="MH15" s="13">
        <v>253</v>
      </c>
      <c r="MI15" s="13">
        <v>285</v>
      </c>
      <c r="MJ15" s="13">
        <v>349</v>
      </c>
      <c r="MK15" s="13">
        <v>421</v>
      </c>
      <c r="ML15" s="13">
        <v>458</v>
      </c>
      <c r="MM15" s="13">
        <v>502</v>
      </c>
      <c r="MN15" s="13">
        <v>482</v>
      </c>
      <c r="MO15" s="13">
        <v>522</v>
      </c>
      <c r="MP15" s="13">
        <v>520</v>
      </c>
      <c r="MQ15" s="13">
        <v>587</v>
      </c>
      <c r="MR15" s="13">
        <v>715</v>
      </c>
      <c r="MS15" s="13">
        <v>851</v>
      </c>
      <c r="MT15" s="13">
        <v>1418</v>
      </c>
      <c r="MU15" s="13">
        <v>2308</v>
      </c>
      <c r="MV15" s="13">
        <v>2358</v>
      </c>
      <c r="MW15" s="13">
        <v>2491</v>
      </c>
      <c r="MX15" s="13">
        <v>2824</v>
      </c>
      <c r="MY15" s="13">
        <v>3434</v>
      </c>
      <c r="MZ15" s="13">
        <v>4148</v>
      </c>
      <c r="NA15" s="13">
        <v>5365</v>
      </c>
      <c r="NB15" s="13">
        <v>5206</v>
      </c>
      <c r="NC15" s="13">
        <v>4922</v>
      </c>
      <c r="ND15" s="13">
        <v>5248</v>
      </c>
      <c r="NE15" s="13">
        <v>6242</v>
      </c>
      <c r="NF15" s="13">
        <v>7264</v>
      </c>
      <c r="NG15" s="13">
        <v>8228</v>
      </c>
      <c r="NH15" s="13">
        <v>8969</v>
      </c>
      <c r="NI15" s="11">
        <v>10109</v>
      </c>
      <c r="NJ15" s="11">
        <v>13435</v>
      </c>
      <c r="NK15" s="13">
        <v>16067</v>
      </c>
      <c r="NL15" s="13">
        <v>21675</v>
      </c>
      <c r="NM15" s="11">
        <v>23589</v>
      </c>
      <c r="NN15" s="11">
        <v>28942</v>
      </c>
      <c r="NO15" s="11">
        <v>27657</v>
      </c>
      <c r="NP15" s="11">
        <v>26359</v>
      </c>
      <c r="NQ15" s="11">
        <v>24702</v>
      </c>
      <c r="NR15" s="11">
        <v>23260</v>
      </c>
      <c r="NS15" s="11">
        <v>23214</v>
      </c>
      <c r="NT15" s="11">
        <v>21558</v>
      </c>
      <c r="NU15" s="11">
        <v>19544</v>
      </c>
      <c r="NV15" s="11">
        <v>17988</v>
      </c>
      <c r="NW15" s="11">
        <v>15238</v>
      </c>
      <c r="NX15" s="11">
        <v>12167</v>
      </c>
      <c r="NY15" s="11">
        <v>9239</v>
      </c>
      <c r="NZ15" s="11">
        <v>6973</v>
      </c>
      <c r="OA15" s="11">
        <v>5794</v>
      </c>
      <c r="OB15" s="11">
        <v>2684</v>
      </c>
      <c r="OC15" s="11">
        <v>1965</v>
      </c>
      <c r="OD15" s="11">
        <v>1072</v>
      </c>
      <c r="OE15" s="11">
        <v>393</v>
      </c>
    </row>
    <row r="16" spans="1:397">
      <c r="A16" s="13" t="s">
        <v>52</v>
      </c>
      <c r="B16" s="13">
        <v>975316</v>
      </c>
      <c r="C16" s="13">
        <v>974949</v>
      </c>
      <c r="D16" s="13">
        <v>974753</v>
      </c>
      <c r="E16" s="13">
        <v>974607</v>
      </c>
      <c r="F16" s="13">
        <v>974265</v>
      </c>
      <c r="G16" s="13">
        <v>974156</v>
      </c>
      <c r="H16" s="13">
        <v>973429</v>
      </c>
      <c r="I16" s="13">
        <v>973104</v>
      </c>
      <c r="J16" s="13">
        <v>972737</v>
      </c>
      <c r="K16" s="13">
        <v>972332</v>
      </c>
      <c r="L16" s="13">
        <v>972002</v>
      </c>
      <c r="M16" s="13">
        <v>971472</v>
      </c>
      <c r="N16" s="13">
        <v>970667</v>
      </c>
      <c r="O16" s="13">
        <v>970103</v>
      </c>
      <c r="P16" s="13">
        <v>969384</v>
      </c>
      <c r="Q16" s="13">
        <v>968773</v>
      </c>
      <c r="R16" s="13">
        <v>968131</v>
      </c>
      <c r="S16" s="13">
        <v>967415</v>
      </c>
      <c r="T16" s="13">
        <v>966680</v>
      </c>
      <c r="U16" s="13">
        <v>966100</v>
      </c>
      <c r="V16" s="13">
        <v>964954</v>
      </c>
      <c r="W16" s="13">
        <v>963237</v>
      </c>
      <c r="X16" s="13">
        <v>962317</v>
      </c>
      <c r="Y16" s="13">
        <v>960962</v>
      </c>
      <c r="Z16" s="13">
        <v>957984</v>
      </c>
      <c r="AA16" s="13">
        <v>956533</v>
      </c>
      <c r="AB16" s="13">
        <v>954707</v>
      </c>
      <c r="AC16" s="13">
        <v>951804</v>
      </c>
      <c r="AD16" s="13">
        <v>949349</v>
      </c>
      <c r="AE16" s="13">
        <v>947364</v>
      </c>
      <c r="AF16" s="13">
        <v>944196</v>
      </c>
      <c r="AG16" s="13">
        <v>942449</v>
      </c>
      <c r="AH16" s="13">
        <v>940068</v>
      </c>
      <c r="AI16" s="13">
        <v>938464</v>
      </c>
      <c r="AJ16" s="13">
        <v>936427</v>
      </c>
      <c r="AK16" s="13">
        <v>933875</v>
      </c>
      <c r="AL16" s="13">
        <v>931438</v>
      </c>
      <c r="AM16" s="13">
        <v>929694</v>
      </c>
      <c r="AN16" s="13">
        <v>926793</v>
      </c>
      <c r="AO16" s="13">
        <v>925042</v>
      </c>
      <c r="AP16" s="13">
        <v>924062</v>
      </c>
      <c r="AQ16" s="13">
        <v>922790</v>
      </c>
      <c r="AR16" s="13">
        <v>920733</v>
      </c>
      <c r="AS16" s="13">
        <v>915142</v>
      </c>
      <c r="AT16" s="13">
        <v>912596</v>
      </c>
      <c r="AU16" s="13">
        <v>910833</v>
      </c>
      <c r="AV16" s="13">
        <v>909425</v>
      </c>
      <c r="AW16" s="13">
        <v>907460</v>
      </c>
      <c r="AX16" s="13">
        <v>906634</v>
      </c>
      <c r="AY16" s="13">
        <v>905493</v>
      </c>
      <c r="AZ16" s="13">
        <v>904515</v>
      </c>
      <c r="BA16" s="13">
        <v>903528</v>
      </c>
      <c r="BB16" s="13">
        <v>902187</v>
      </c>
      <c r="BC16" s="13">
        <v>901517</v>
      </c>
      <c r="BD16" s="13">
        <v>900952</v>
      </c>
      <c r="BE16" s="13">
        <v>900482</v>
      </c>
      <c r="BF16" s="13">
        <v>897690</v>
      </c>
      <c r="BG16" s="13">
        <v>894409</v>
      </c>
      <c r="BH16" s="13">
        <v>893870</v>
      </c>
      <c r="BI16" s="13">
        <v>893304</v>
      </c>
      <c r="BJ16" s="13">
        <v>891801</v>
      </c>
      <c r="BK16" s="13">
        <v>891010</v>
      </c>
      <c r="BL16" s="13">
        <v>890499</v>
      </c>
      <c r="BM16" s="13">
        <v>890102</v>
      </c>
      <c r="BN16" s="13">
        <v>889386</v>
      </c>
      <c r="BO16" s="13">
        <v>889134</v>
      </c>
      <c r="BP16" s="13">
        <v>888359</v>
      </c>
      <c r="BQ16" s="13">
        <v>887650</v>
      </c>
      <c r="BR16" s="13">
        <v>887031</v>
      </c>
      <c r="BS16" s="13">
        <v>886495</v>
      </c>
      <c r="BT16" s="13">
        <v>885676</v>
      </c>
      <c r="BU16" s="13">
        <v>885409</v>
      </c>
      <c r="BV16" s="13">
        <v>884789</v>
      </c>
      <c r="BW16" s="13">
        <v>884319</v>
      </c>
      <c r="BX16" s="13">
        <v>883662</v>
      </c>
      <c r="BY16" s="13">
        <v>883072</v>
      </c>
      <c r="BZ16" s="13">
        <v>882710</v>
      </c>
      <c r="CA16" s="13">
        <v>882239</v>
      </c>
      <c r="CB16" s="13">
        <v>881740</v>
      </c>
      <c r="CC16" s="13">
        <v>881135</v>
      </c>
      <c r="CD16" s="13">
        <v>880179</v>
      </c>
      <c r="CE16" s="13">
        <v>879901</v>
      </c>
      <c r="CF16" s="13">
        <v>879310</v>
      </c>
      <c r="CG16" s="13">
        <v>878626</v>
      </c>
      <c r="CH16" s="13">
        <v>878275</v>
      </c>
      <c r="CI16" s="13">
        <v>877922</v>
      </c>
      <c r="CJ16" s="13">
        <v>877795</v>
      </c>
      <c r="CK16" s="13">
        <v>877545</v>
      </c>
      <c r="CL16" s="13">
        <v>876725</v>
      </c>
      <c r="CM16" s="13">
        <v>876138</v>
      </c>
      <c r="CN16" s="13">
        <v>875547</v>
      </c>
      <c r="CO16" s="13">
        <v>875061</v>
      </c>
      <c r="CP16" s="13">
        <v>874707</v>
      </c>
      <c r="CQ16" s="13">
        <v>874466</v>
      </c>
      <c r="CR16" s="13">
        <v>874106</v>
      </c>
      <c r="CS16" s="13">
        <v>873756</v>
      </c>
      <c r="CT16" s="13">
        <v>873191</v>
      </c>
      <c r="CU16" s="13">
        <v>872812</v>
      </c>
      <c r="CV16" s="13">
        <v>872244</v>
      </c>
      <c r="CW16" s="13">
        <v>871822</v>
      </c>
      <c r="CX16" s="13">
        <v>871455</v>
      </c>
      <c r="CY16" s="13">
        <v>870889</v>
      </c>
      <c r="CZ16" s="13">
        <v>869505</v>
      </c>
      <c r="DA16" s="13">
        <v>869056</v>
      </c>
      <c r="DB16" s="13">
        <v>868043</v>
      </c>
      <c r="DC16" s="13">
        <v>866919</v>
      </c>
      <c r="DD16" s="13">
        <v>865747</v>
      </c>
      <c r="DE16" s="13">
        <v>865425</v>
      </c>
      <c r="DF16" s="13">
        <v>863944</v>
      </c>
      <c r="DG16" s="13">
        <v>862334</v>
      </c>
      <c r="DH16" s="13">
        <v>861405</v>
      </c>
      <c r="DI16" s="13">
        <v>859748</v>
      </c>
      <c r="DJ16" s="13">
        <v>858677</v>
      </c>
      <c r="DK16" s="13">
        <v>855855</v>
      </c>
      <c r="DL16" s="13">
        <v>853920</v>
      </c>
      <c r="DM16" s="13">
        <v>852998</v>
      </c>
      <c r="DN16" s="13">
        <v>851586</v>
      </c>
      <c r="DO16" s="13">
        <v>850196</v>
      </c>
      <c r="DP16" s="13">
        <v>849503</v>
      </c>
      <c r="DQ16" s="13">
        <v>848666</v>
      </c>
      <c r="DR16" s="13">
        <v>848217</v>
      </c>
      <c r="DS16" s="13">
        <v>847677</v>
      </c>
      <c r="DT16" s="13">
        <v>846829</v>
      </c>
      <c r="DU16" s="13">
        <v>845945</v>
      </c>
      <c r="DV16" s="13">
        <v>845231</v>
      </c>
      <c r="DW16" s="13">
        <v>844662</v>
      </c>
      <c r="DX16" s="13">
        <v>843820</v>
      </c>
      <c r="DY16" s="13">
        <v>843357</v>
      </c>
      <c r="DZ16" s="13">
        <v>842832</v>
      </c>
      <c r="EA16" s="13">
        <v>841890</v>
      </c>
      <c r="EB16" s="13">
        <v>841178</v>
      </c>
      <c r="EC16" s="13">
        <v>840380</v>
      </c>
      <c r="ED16" s="13">
        <v>839771</v>
      </c>
      <c r="EE16" s="13">
        <v>838668</v>
      </c>
      <c r="EF16" s="13">
        <v>838333</v>
      </c>
      <c r="EG16" s="13">
        <v>837935</v>
      </c>
      <c r="EH16" s="13">
        <v>837392</v>
      </c>
      <c r="EI16" s="13">
        <v>836287</v>
      </c>
      <c r="EJ16" s="13">
        <v>835190</v>
      </c>
      <c r="EK16" s="13">
        <v>834705</v>
      </c>
      <c r="EL16" s="13">
        <v>834101</v>
      </c>
      <c r="EM16" s="13">
        <v>833311</v>
      </c>
      <c r="EN16" s="13">
        <v>832884</v>
      </c>
      <c r="EO16" s="13">
        <v>832332</v>
      </c>
      <c r="EP16" s="13">
        <v>831369</v>
      </c>
      <c r="EQ16" s="13">
        <v>830723</v>
      </c>
      <c r="ER16" s="13">
        <v>830088</v>
      </c>
      <c r="ES16" s="13">
        <v>829302</v>
      </c>
      <c r="ET16" s="13">
        <v>828788</v>
      </c>
      <c r="EU16" s="13">
        <v>828204</v>
      </c>
      <c r="EV16" s="13">
        <v>827716</v>
      </c>
      <c r="EW16" s="13">
        <v>826875</v>
      </c>
      <c r="EX16" s="13">
        <v>826677</v>
      </c>
      <c r="EY16" s="13">
        <v>826068</v>
      </c>
      <c r="EZ16" s="13">
        <v>825201</v>
      </c>
      <c r="FA16" s="13">
        <v>824740</v>
      </c>
      <c r="FB16" s="13">
        <v>824092</v>
      </c>
      <c r="FC16" s="13">
        <v>823459</v>
      </c>
      <c r="FD16" s="13">
        <v>823002</v>
      </c>
      <c r="FE16" s="13">
        <v>822554</v>
      </c>
      <c r="FF16" s="13">
        <v>821662</v>
      </c>
      <c r="FG16" s="13">
        <v>821220</v>
      </c>
      <c r="FH16" s="13">
        <v>820761</v>
      </c>
      <c r="FI16" s="13">
        <v>820397</v>
      </c>
      <c r="FJ16" s="13">
        <v>820007</v>
      </c>
      <c r="FK16" s="13">
        <v>819075</v>
      </c>
      <c r="FL16" s="13">
        <v>818580</v>
      </c>
      <c r="FM16" s="13">
        <v>818203</v>
      </c>
      <c r="FN16" s="13">
        <v>817696</v>
      </c>
      <c r="FO16" s="13">
        <v>816868</v>
      </c>
      <c r="FP16" s="13">
        <v>816307</v>
      </c>
      <c r="FQ16" s="13">
        <v>815740</v>
      </c>
      <c r="FR16" s="13">
        <v>814852</v>
      </c>
      <c r="FS16" s="13">
        <v>814635</v>
      </c>
      <c r="FT16" s="13">
        <v>814433</v>
      </c>
      <c r="FU16" s="13">
        <v>814039</v>
      </c>
      <c r="FV16" s="13">
        <v>813571</v>
      </c>
      <c r="FW16" s="13">
        <v>813062</v>
      </c>
      <c r="FX16" s="13">
        <v>812268</v>
      </c>
      <c r="FY16" s="13">
        <v>811824</v>
      </c>
      <c r="FZ16" s="13">
        <v>810959</v>
      </c>
      <c r="GA16" s="13">
        <v>810056</v>
      </c>
      <c r="GB16" s="13">
        <v>809209</v>
      </c>
      <c r="GC16" s="13">
        <v>808715</v>
      </c>
      <c r="GD16" s="13">
        <v>808005</v>
      </c>
      <c r="GE16" s="13">
        <v>807383</v>
      </c>
      <c r="GF16" s="13">
        <v>806649</v>
      </c>
      <c r="GG16" s="13">
        <v>805857</v>
      </c>
      <c r="GH16" s="13">
        <v>805075</v>
      </c>
      <c r="GI16" s="13">
        <v>804180</v>
      </c>
      <c r="GJ16" s="13">
        <v>803651</v>
      </c>
      <c r="GK16" s="13">
        <v>802908</v>
      </c>
      <c r="GL16" s="13">
        <v>802273</v>
      </c>
      <c r="GM16" s="13">
        <v>800809</v>
      </c>
      <c r="GN16" s="13">
        <v>800268</v>
      </c>
      <c r="GO16" s="13">
        <v>799701</v>
      </c>
      <c r="GP16" s="13">
        <v>798436</v>
      </c>
      <c r="GQ16" s="13">
        <v>795607</v>
      </c>
      <c r="GR16" s="13">
        <v>794165</v>
      </c>
      <c r="GS16" s="13">
        <v>792481</v>
      </c>
      <c r="GT16" s="13">
        <v>791776</v>
      </c>
      <c r="GU16" s="13">
        <v>791054</v>
      </c>
      <c r="GV16" s="13">
        <v>789742</v>
      </c>
      <c r="GW16" s="13">
        <v>787335</v>
      </c>
      <c r="GX16" s="13">
        <v>786957</v>
      </c>
      <c r="GY16" s="13">
        <v>783053</v>
      </c>
      <c r="GZ16" s="13">
        <v>782284</v>
      </c>
      <c r="HA16" s="13">
        <v>781406</v>
      </c>
      <c r="HB16" s="13">
        <v>779000</v>
      </c>
      <c r="HC16" s="13">
        <v>778052</v>
      </c>
      <c r="HD16" s="13">
        <v>773802</v>
      </c>
      <c r="HE16" s="13">
        <v>773412</v>
      </c>
      <c r="HF16" s="13">
        <v>772804</v>
      </c>
      <c r="HG16" s="13">
        <v>772488</v>
      </c>
      <c r="HH16" s="13">
        <v>772333</v>
      </c>
      <c r="HI16" s="13">
        <v>771589</v>
      </c>
      <c r="HJ16" s="13">
        <v>768470</v>
      </c>
      <c r="HK16" s="13">
        <v>767916</v>
      </c>
      <c r="HL16" s="13">
        <v>767532</v>
      </c>
      <c r="HM16" s="13">
        <v>767432</v>
      </c>
      <c r="HN16" s="13">
        <v>766903</v>
      </c>
      <c r="HO16" s="13">
        <v>766622</v>
      </c>
      <c r="HP16" s="13">
        <v>766329</v>
      </c>
      <c r="HQ16" s="13">
        <v>765934</v>
      </c>
      <c r="HR16" s="13">
        <v>765615</v>
      </c>
      <c r="HS16" s="13">
        <v>765344</v>
      </c>
      <c r="HT16" s="13">
        <v>765012</v>
      </c>
      <c r="HU16" s="13">
        <v>764486</v>
      </c>
      <c r="HV16" s="13">
        <v>763801</v>
      </c>
      <c r="HW16" s="13">
        <v>763557</v>
      </c>
      <c r="HX16" s="13">
        <v>763277</v>
      </c>
      <c r="HY16" s="13">
        <v>763077</v>
      </c>
      <c r="HZ16" s="13">
        <v>762940</v>
      </c>
      <c r="IA16" s="13">
        <v>762744</v>
      </c>
      <c r="IB16" s="13">
        <v>762376</v>
      </c>
      <c r="IC16" s="13">
        <v>762119</v>
      </c>
      <c r="ID16" s="13">
        <v>761721</v>
      </c>
      <c r="IE16" s="13">
        <v>761444</v>
      </c>
      <c r="IF16" s="13">
        <v>760818</v>
      </c>
      <c r="IG16" s="13">
        <v>760157</v>
      </c>
      <c r="IH16" s="13">
        <v>759279</v>
      </c>
      <c r="II16" s="13">
        <v>758718</v>
      </c>
      <c r="IJ16" s="13">
        <v>758023</v>
      </c>
      <c r="IK16" s="13">
        <v>756965</v>
      </c>
      <c r="IL16" s="13">
        <v>756223</v>
      </c>
      <c r="IM16" s="13">
        <v>755832</v>
      </c>
      <c r="IN16" s="13">
        <v>754966</v>
      </c>
      <c r="IO16" s="13">
        <v>754269</v>
      </c>
      <c r="IP16" s="13">
        <v>753836</v>
      </c>
      <c r="IQ16" s="13">
        <v>752978</v>
      </c>
      <c r="IR16" s="13">
        <v>752087</v>
      </c>
      <c r="IS16" s="13">
        <v>751383</v>
      </c>
      <c r="IT16" s="13">
        <v>750674</v>
      </c>
      <c r="IU16" s="13">
        <v>750487</v>
      </c>
      <c r="IV16" s="13">
        <v>747680</v>
      </c>
      <c r="IW16" s="13">
        <v>747232</v>
      </c>
      <c r="IX16" s="13">
        <v>747066</v>
      </c>
      <c r="IY16" s="13">
        <v>746744</v>
      </c>
      <c r="IZ16" s="13">
        <v>746611</v>
      </c>
      <c r="JA16" s="13">
        <v>746349</v>
      </c>
      <c r="JB16" s="13">
        <v>746084</v>
      </c>
      <c r="JC16" s="13">
        <v>745950</v>
      </c>
      <c r="JD16" s="13">
        <v>745613</v>
      </c>
      <c r="JE16" s="13">
        <v>745147</v>
      </c>
      <c r="JF16" s="13">
        <v>744693</v>
      </c>
      <c r="JG16" s="13">
        <v>744490</v>
      </c>
      <c r="JH16" s="13">
        <v>744228</v>
      </c>
      <c r="JI16" s="13">
        <v>743799</v>
      </c>
      <c r="JJ16" s="13">
        <v>743586</v>
      </c>
      <c r="JK16" s="13">
        <v>743188</v>
      </c>
      <c r="JL16" s="13">
        <v>742506</v>
      </c>
      <c r="JM16" s="13">
        <v>742045</v>
      </c>
      <c r="JN16" s="13">
        <v>741696</v>
      </c>
      <c r="JO16" s="13">
        <v>741344</v>
      </c>
      <c r="JP16" s="13">
        <v>740967</v>
      </c>
      <c r="JQ16" s="13">
        <v>740614</v>
      </c>
      <c r="JR16" s="13">
        <v>740428</v>
      </c>
      <c r="JS16" s="13">
        <v>740054</v>
      </c>
      <c r="JT16" s="13">
        <v>739545</v>
      </c>
      <c r="JU16" s="13">
        <v>739278</v>
      </c>
      <c r="JV16" s="13">
        <v>738691</v>
      </c>
      <c r="JW16" s="13">
        <v>738262</v>
      </c>
      <c r="JX16" s="13">
        <v>737901</v>
      </c>
      <c r="JY16" s="13">
        <v>737599</v>
      </c>
      <c r="JZ16" s="13">
        <v>737127</v>
      </c>
      <c r="KA16" s="13">
        <v>736787</v>
      </c>
      <c r="KB16" s="13">
        <v>736372</v>
      </c>
      <c r="KC16" s="13">
        <v>736010</v>
      </c>
      <c r="KD16" s="13">
        <v>735737</v>
      </c>
      <c r="KE16" s="13">
        <v>735577</v>
      </c>
      <c r="KF16" s="13">
        <v>735240</v>
      </c>
      <c r="KG16" s="13">
        <v>734766</v>
      </c>
      <c r="KH16" s="13">
        <v>734281</v>
      </c>
      <c r="KI16" s="13">
        <v>733733</v>
      </c>
      <c r="KJ16" s="13">
        <v>732966</v>
      </c>
      <c r="KK16" s="13">
        <v>732369</v>
      </c>
      <c r="KL16" s="13">
        <v>731910</v>
      </c>
      <c r="KM16" s="13">
        <v>731015</v>
      </c>
      <c r="KN16" s="13">
        <v>730529</v>
      </c>
      <c r="KO16" s="13">
        <v>729885</v>
      </c>
      <c r="KP16" s="13">
        <v>729287</v>
      </c>
      <c r="KQ16" s="13">
        <v>728590</v>
      </c>
      <c r="KR16" s="13">
        <v>728049</v>
      </c>
      <c r="KS16" s="13">
        <v>727589</v>
      </c>
      <c r="KT16" s="13">
        <v>726797</v>
      </c>
      <c r="KU16" s="13">
        <v>725814</v>
      </c>
      <c r="KV16" s="13">
        <v>724850</v>
      </c>
      <c r="KW16" s="13">
        <v>723835</v>
      </c>
      <c r="KX16" s="13">
        <v>722909</v>
      </c>
      <c r="KY16" s="13">
        <v>722007</v>
      </c>
      <c r="KZ16" s="13">
        <v>721295</v>
      </c>
      <c r="LA16" s="13">
        <v>720544</v>
      </c>
      <c r="LB16" s="13">
        <v>719908</v>
      </c>
      <c r="LC16" s="13">
        <v>718881</v>
      </c>
      <c r="LD16" s="13">
        <v>718050</v>
      </c>
      <c r="LE16" s="13">
        <v>717378</v>
      </c>
      <c r="LF16" s="13">
        <v>716889</v>
      </c>
      <c r="LG16" s="13">
        <v>715854</v>
      </c>
      <c r="LH16" s="13">
        <v>714720</v>
      </c>
      <c r="LI16" s="13">
        <v>713988</v>
      </c>
      <c r="LJ16" s="13">
        <v>713110</v>
      </c>
      <c r="LK16" s="13">
        <v>712088</v>
      </c>
      <c r="LL16" s="13">
        <v>710985</v>
      </c>
      <c r="LM16" s="13">
        <v>709570</v>
      </c>
      <c r="LN16" s="13">
        <v>707913</v>
      </c>
      <c r="LO16" s="13">
        <v>706017</v>
      </c>
      <c r="LP16" s="13">
        <v>704190</v>
      </c>
      <c r="LQ16" s="13">
        <v>701884</v>
      </c>
      <c r="LR16" s="13">
        <v>699396</v>
      </c>
      <c r="LS16" s="13">
        <v>697470</v>
      </c>
      <c r="LT16" s="13">
        <v>695305</v>
      </c>
      <c r="LU16" s="13">
        <v>693223</v>
      </c>
      <c r="LV16" s="13">
        <v>691185</v>
      </c>
      <c r="LW16" s="13">
        <v>688993</v>
      </c>
      <c r="LX16" s="13">
        <v>687680</v>
      </c>
      <c r="LY16" s="13">
        <v>685866</v>
      </c>
      <c r="LZ16" s="13">
        <v>684331</v>
      </c>
      <c r="MA16" s="13">
        <v>683281</v>
      </c>
      <c r="MB16" s="13">
        <v>682327</v>
      </c>
      <c r="MC16" s="13">
        <v>681404</v>
      </c>
      <c r="MD16" s="13">
        <v>680462</v>
      </c>
      <c r="ME16" s="13">
        <v>679759</v>
      </c>
      <c r="MF16" s="13">
        <v>678935</v>
      </c>
      <c r="MG16" s="13">
        <v>678088</v>
      </c>
      <c r="MH16" s="13">
        <v>677243</v>
      </c>
      <c r="MI16" s="13">
        <v>675886</v>
      </c>
      <c r="MJ16" s="13">
        <v>675338</v>
      </c>
      <c r="MK16" s="13">
        <v>674760</v>
      </c>
      <c r="ML16" s="13">
        <v>674038</v>
      </c>
      <c r="MM16" s="13">
        <v>672458</v>
      </c>
      <c r="MN16" s="13">
        <v>670854</v>
      </c>
      <c r="MO16" s="13">
        <v>669025</v>
      </c>
      <c r="MP16" s="13">
        <v>666397</v>
      </c>
      <c r="MQ16" s="13">
        <v>664899</v>
      </c>
      <c r="MR16" s="13">
        <v>663240</v>
      </c>
      <c r="MS16" s="13">
        <v>660716</v>
      </c>
      <c r="MT16" s="13">
        <v>658587</v>
      </c>
      <c r="MU16" s="13">
        <v>656054</v>
      </c>
      <c r="MV16" s="13">
        <v>652174</v>
      </c>
      <c r="MW16" s="13">
        <v>647406</v>
      </c>
      <c r="MX16" s="13">
        <v>641742</v>
      </c>
      <c r="MY16" s="13">
        <v>635531</v>
      </c>
      <c r="MZ16" s="13">
        <v>628517</v>
      </c>
      <c r="NA16" s="13">
        <v>618915</v>
      </c>
      <c r="NB16" s="13">
        <v>606037</v>
      </c>
      <c r="NC16" s="13">
        <v>589163</v>
      </c>
      <c r="ND16" s="13">
        <v>574418</v>
      </c>
      <c r="NE16" s="13">
        <v>560901</v>
      </c>
      <c r="NF16" s="13">
        <v>546016</v>
      </c>
      <c r="NG16" s="13">
        <v>529418</v>
      </c>
      <c r="NH16" s="13">
        <v>513183</v>
      </c>
      <c r="NI16" s="11">
        <v>493067</v>
      </c>
      <c r="NJ16" s="11">
        <v>471531</v>
      </c>
      <c r="NK16" s="13">
        <v>451462</v>
      </c>
      <c r="NL16" s="13">
        <v>428438</v>
      </c>
      <c r="NM16" s="11">
        <v>399487</v>
      </c>
      <c r="NN16" s="11">
        <v>371905</v>
      </c>
      <c r="NO16" s="11">
        <v>345498</v>
      </c>
      <c r="NP16" s="11">
        <v>314028</v>
      </c>
      <c r="NQ16" s="11">
        <v>282813</v>
      </c>
      <c r="NR16" s="11">
        <v>252154</v>
      </c>
      <c r="NS16" s="11">
        <v>221015</v>
      </c>
      <c r="NT16" s="11">
        <v>189583</v>
      </c>
      <c r="NU16" s="11">
        <v>163844</v>
      </c>
      <c r="NV16" s="11">
        <v>136987</v>
      </c>
      <c r="NW16" s="11">
        <v>113579</v>
      </c>
      <c r="NX16" s="11">
        <v>88693</v>
      </c>
      <c r="NY16" s="11">
        <v>65537</v>
      </c>
      <c r="NZ16" s="11">
        <v>47833</v>
      </c>
      <c r="OA16" s="11">
        <v>32799</v>
      </c>
      <c r="OB16" s="11">
        <v>23431</v>
      </c>
      <c r="OC16" s="11">
        <v>15197</v>
      </c>
      <c r="OD16" s="11">
        <v>9507</v>
      </c>
      <c r="OE16" s="11">
        <v>5897</v>
      </c>
      <c r="OF16" s="11">
        <v>2197</v>
      </c>
      <c r="OG16" s="11">
        <v>1739</v>
      </c>
    </row>
    <row r="17" spans="1:397">
      <c r="A17" s="13" t="s">
        <v>37</v>
      </c>
      <c r="B17" s="13">
        <v>8308</v>
      </c>
      <c r="C17" s="13">
        <v>8347</v>
      </c>
      <c r="D17" s="13">
        <v>8577</v>
      </c>
      <c r="E17" s="13">
        <v>9643</v>
      </c>
      <c r="F17" s="13">
        <v>10129</v>
      </c>
      <c r="G17" s="13">
        <v>11635</v>
      </c>
      <c r="H17" s="13">
        <v>11929</v>
      </c>
      <c r="I17" s="13">
        <v>13649</v>
      </c>
      <c r="J17" s="13">
        <v>16304</v>
      </c>
      <c r="K17" s="13">
        <v>18742</v>
      </c>
      <c r="L17" s="13">
        <v>21376</v>
      </c>
      <c r="M17" s="13">
        <v>27636</v>
      </c>
      <c r="N17" s="13">
        <v>30212</v>
      </c>
      <c r="O17" s="13">
        <v>32244</v>
      </c>
      <c r="P17" s="13">
        <v>33292</v>
      </c>
      <c r="Q17" s="13">
        <v>34184</v>
      </c>
      <c r="R17" s="13">
        <v>36360</v>
      </c>
      <c r="S17" s="13">
        <v>37319</v>
      </c>
      <c r="T17" s="13">
        <v>38217</v>
      </c>
      <c r="U17" s="13">
        <v>38895</v>
      </c>
      <c r="V17" s="13">
        <v>39218</v>
      </c>
      <c r="W17" s="13">
        <v>38876</v>
      </c>
      <c r="X17" s="13">
        <v>39429</v>
      </c>
      <c r="Y17" s="13">
        <v>39811</v>
      </c>
      <c r="Z17" s="13">
        <v>38443</v>
      </c>
      <c r="AA17" s="13">
        <v>38345</v>
      </c>
      <c r="AB17" s="13">
        <v>37678</v>
      </c>
      <c r="AC17" s="13">
        <v>36503</v>
      </c>
      <c r="AD17" s="13">
        <v>35752</v>
      </c>
      <c r="AE17" s="13">
        <v>36874</v>
      </c>
      <c r="AF17" s="13">
        <v>34966</v>
      </c>
      <c r="AG17" s="13">
        <v>35325</v>
      </c>
      <c r="AH17" s="13">
        <v>34231</v>
      </c>
      <c r="AI17" s="13">
        <v>34150</v>
      </c>
      <c r="AJ17" s="13">
        <v>33409</v>
      </c>
      <c r="AK17" s="13">
        <v>31912</v>
      </c>
      <c r="AL17" s="13">
        <v>30963</v>
      </c>
      <c r="AM17" s="13">
        <v>30114</v>
      </c>
      <c r="AN17" s="13">
        <v>27830</v>
      </c>
      <c r="AO17" s="13">
        <v>26652</v>
      </c>
      <c r="AP17" s="13">
        <v>26077</v>
      </c>
      <c r="AQ17" s="13">
        <v>25414</v>
      </c>
      <c r="AR17" s="13">
        <v>23974</v>
      </c>
      <c r="AS17" s="13">
        <v>19582</v>
      </c>
      <c r="AT17" s="13">
        <v>17736</v>
      </c>
      <c r="AU17" s="13">
        <v>16769</v>
      </c>
      <c r="AV17" s="13">
        <v>15685</v>
      </c>
      <c r="AW17" s="13">
        <v>14175</v>
      </c>
      <c r="AX17" s="13">
        <v>14311</v>
      </c>
      <c r="AY17" s="13">
        <v>13584</v>
      </c>
      <c r="AZ17" s="13">
        <v>13615</v>
      </c>
      <c r="BA17" s="13">
        <v>12846</v>
      </c>
      <c r="BB17" s="13">
        <v>11909</v>
      </c>
      <c r="BC17" s="13">
        <v>11791</v>
      </c>
      <c r="BD17" s="13">
        <v>11954</v>
      </c>
      <c r="BE17" s="13">
        <v>12055</v>
      </c>
      <c r="BF17" s="13">
        <v>9890</v>
      </c>
      <c r="BG17" s="13">
        <v>7488</v>
      </c>
      <c r="BH17" s="13">
        <v>7618</v>
      </c>
      <c r="BI17" s="13">
        <v>7850</v>
      </c>
      <c r="BJ17" s="13">
        <v>6927</v>
      </c>
      <c r="BK17" s="13">
        <v>6596</v>
      </c>
      <c r="BL17" s="13">
        <v>6739</v>
      </c>
      <c r="BM17" s="13">
        <v>7014</v>
      </c>
      <c r="BN17" s="13">
        <v>6792</v>
      </c>
      <c r="BO17" s="13">
        <v>6898</v>
      </c>
      <c r="BP17" s="13">
        <v>6852</v>
      </c>
      <c r="BQ17" s="13">
        <v>7277</v>
      </c>
      <c r="BR17" s="13">
        <v>7006</v>
      </c>
      <c r="BS17" s="13">
        <v>6904</v>
      </c>
      <c r="BT17" s="13">
        <v>6708</v>
      </c>
      <c r="BU17" s="13">
        <v>6659</v>
      </c>
      <c r="BV17" s="13">
        <v>6421</v>
      </c>
      <c r="BW17" s="13">
        <v>6114</v>
      </c>
      <c r="BX17" s="13">
        <v>5758</v>
      </c>
      <c r="BY17" s="13">
        <v>5540</v>
      </c>
      <c r="BZ17" s="13">
        <v>5896</v>
      </c>
      <c r="CA17" s="13">
        <v>7077</v>
      </c>
      <c r="CB17" s="13">
        <v>7007</v>
      </c>
      <c r="CC17" s="13">
        <v>6753</v>
      </c>
      <c r="CD17" s="13">
        <v>7147</v>
      </c>
      <c r="CE17" s="13">
        <v>7174</v>
      </c>
      <c r="CF17" s="13">
        <v>8211</v>
      </c>
      <c r="CG17" s="13">
        <v>9649</v>
      </c>
      <c r="CH17" s="13">
        <v>10191</v>
      </c>
      <c r="CI17" s="13">
        <v>10768</v>
      </c>
      <c r="CJ17" s="13">
        <v>11566</v>
      </c>
      <c r="CK17" s="13">
        <v>11857</v>
      </c>
      <c r="CL17" s="13">
        <v>11231</v>
      </c>
      <c r="CM17" s="13">
        <v>11375</v>
      </c>
      <c r="CN17" s="13">
        <v>11892</v>
      </c>
      <c r="CO17" s="13">
        <v>12412</v>
      </c>
      <c r="CP17" s="13">
        <v>13176</v>
      </c>
      <c r="CQ17" s="13">
        <v>13974</v>
      </c>
      <c r="CR17" s="13">
        <v>13995</v>
      </c>
      <c r="CS17" s="13">
        <v>14232</v>
      </c>
      <c r="CT17" s="13">
        <v>15032</v>
      </c>
      <c r="CU17" s="13">
        <v>15650</v>
      </c>
      <c r="CV17" s="13">
        <v>15977</v>
      </c>
      <c r="CW17" s="13">
        <v>16817</v>
      </c>
      <c r="CX17" s="13">
        <v>17279</v>
      </c>
      <c r="CY17" s="13">
        <v>17465</v>
      </c>
      <c r="CZ17" s="13">
        <v>16503</v>
      </c>
      <c r="DA17" s="13">
        <v>16618</v>
      </c>
      <c r="DB17" s="13">
        <v>16532</v>
      </c>
      <c r="DC17" s="13">
        <v>16476</v>
      </c>
      <c r="DD17" s="13">
        <v>15933</v>
      </c>
      <c r="DE17" s="13">
        <v>16572</v>
      </c>
      <c r="DF17" s="13">
        <v>15585</v>
      </c>
      <c r="DG17" s="13">
        <v>14489</v>
      </c>
      <c r="DH17" s="13">
        <v>14247</v>
      </c>
      <c r="DI17" s="13">
        <v>13280</v>
      </c>
      <c r="DJ17" s="13">
        <v>12863</v>
      </c>
      <c r="DK17" s="13">
        <v>11296</v>
      </c>
      <c r="DL17" s="13">
        <v>9907</v>
      </c>
      <c r="DM17" s="13">
        <v>9485</v>
      </c>
      <c r="DN17" s="13">
        <v>8317</v>
      </c>
      <c r="DO17" s="13">
        <v>7871</v>
      </c>
      <c r="DP17" s="13">
        <v>8069</v>
      </c>
      <c r="DQ17" s="13">
        <v>8118</v>
      </c>
      <c r="DR17" s="13">
        <v>8473</v>
      </c>
      <c r="DS17" s="13">
        <v>8557</v>
      </c>
      <c r="DT17" s="13">
        <v>8431</v>
      </c>
      <c r="DU17" s="13">
        <v>7851</v>
      </c>
      <c r="DV17" s="13">
        <v>8265</v>
      </c>
      <c r="DW17" s="13">
        <v>8040</v>
      </c>
      <c r="DX17" s="13">
        <v>8179</v>
      </c>
      <c r="DY17" s="13">
        <v>8571</v>
      </c>
      <c r="DZ17" s="13">
        <v>8912</v>
      </c>
      <c r="EA17" s="13">
        <v>8291</v>
      </c>
      <c r="EB17" s="13">
        <v>7961</v>
      </c>
      <c r="EC17" s="13">
        <v>7906</v>
      </c>
      <c r="ED17" s="13">
        <v>8164</v>
      </c>
      <c r="EE17" s="13">
        <v>7924</v>
      </c>
      <c r="EF17" s="13">
        <v>8712</v>
      </c>
      <c r="EG17" s="13">
        <v>8792</v>
      </c>
      <c r="EH17" s="13">
        <v>8721</v>
      </c>
      <c r="EI17" s="13">
        <v>8013</v>
      </c>
      <c r="EJ17" s="13">
        <v>7439</v>
      </c>
      <c r="EK17" s="13">
        <v>7227</v>
      </c>
      <c r="EL17" s="13">
        <v>7424</v>
      </c>
      <c r="EM17" s="13">
        <v>7241</v>
      </c>
      <c r="EN17" s="13">
        <v>7610</v>
      </c>
      <c r="EO17" s="13">
        <v>7729</v>
      </c>
      <c r="EP17" s="13">
        <v>7020</v>
      </c>
      <c r="EQ17" s="13">
        <v>7160</v>
      </c>
      <c r="ER17" s="13">
        <v>7085</v>
      </c>
      <c r="ES17" s="13">
        <v>6911</v>
      </c>
      <c r="ET17" s="13">
        <v>6865</v>
      </c>
      <c r="EU17" s="13">
        <v>6864</v>
      </c>
      <c r="EV17" s="13">
        <v>6653</v>
      </c>
      <c r="EW17" s="13">
        <v>6233</v>
      </c>
      <c r="EX17" s="13">
        <v>6684</v>
      </c>
      <c r="EY17" s="13">
        <v>6514</v>
      </c>
      <c r="EZ17" s="13">
        <v>6443</v>
      </c>
      <c r="FA17" s="13">
        <v>6496</v>
      </c>
      <c r="FB17" s="13">
        <v>6576</v>
      </c>
      <c r="FC17" s="13">
        <v>6513</v>
      </c>
      <c r="FD17" s="13">
        <v>6527</v>
      </c>
      <c r="FE17" s="13">
        <v>6729</v>
      </c>
      <c r="FF17" s="13">
        <v>6800</v>
      </c>
      <c r="FG17" s="13">
        <v>6709</v>
      </c>
      <c r="FH17" s="13">
        <v>6558</v>
      </c>
      <c r="FI17" s="13">
        <v>6606</v>
      </c>
      <c r="FJ17" s="13">
        <v>6552</v>
      </c>
      <c r="FK17" s="13">
        <v>5959</v>
      </c>
      <c r="FL17" s="13">
        <v>6110</v>
      </c>
      <c r="FM17" s="13">
        <v>7180</v>
      </c>
      <c r="FN17" s="13">
        <v>7610</v>
      </c>
      <c r="FO17" s="13">
        <v>7259</v>
      </c>
      <c r="FP17" s="13">
        <v>7587</v>
      </c>
      <c r="FQ17" s="13">
        <v>7546</v>
      </c>
      <c r="FR17" s="13">
        <v>7190</v>
      </c>
      <c r="FS17" s="13">
        <v>7787</v>
      </c>
      <c r="FT17" s="13">
        <v>9148</v>
      </c>
      <c r="FU17" s="13">
        <v>10040</v>
      </c>
      <c r="FV17" s="13">
        <v>11227</v>
      </c>
      <c r="FW17" s="13">
        <v>11915</v>
      </c>
      <c r="FX17" s="13">
        <v>12370</v>
      </c>
      <c r="FY17" s="13">
        <v>13220</v>
      </c>
      <c r="FZ17" s="13">
        <v>13730</v>
      </c>
      <c r="GA17" s="13">
        <v>14305</v>
      </c>
      <c r="GB17" s="13">
        <v>14599</v>
      </c>
      <c r="GC17" s="13">
        <v>16369</v>
      </c>
      <c r="GD17" s="13">
        <v>17093</v>
      </c>
      <c r="GE17" s="13">
        <v>18473</v>
      </c>
      <c r="GF17" s="13">
        <v>19207</v>
      </c>
      <c r="GG17" s="13">
        <v>19933</v>
      </c>
      <c r="GH17" s="13">
        <v>20441</v>
      </c>
      <c r="GI17" s="13">
        <v>21456</v>
      </c>
      <c r="GJ17" s="13">
        <v>22498</v>
      </c>
      <c r="GK17" s="13">
        <v>23039</v>
      </c>
      <c r="GL17" s="13">
        <v>23790</v>
      </c>
      <c r="GM17" s="13">
        <v>24055</v>
      </c>
      <c r="GN17" s="13">
        <v>25822</v>
      </c>
      <c r="GO17" s="13">
        <v>27357</v>
      </c>
      <c r="GP17" s="13">
        <v>26499</v>
      </c>
      <c r="GQ17" s="13">
        <v>23985</v>
      </c>
      <c r="GR17" s="13">
        <v>23018</v>
      </c>
      <c r="GS17" s="13">
        <v>21743</v>
      </c>
      <c r="GT17" s="13">
        <v>21585</v>
      </c>
      <c r="GU17" s="13">
        <v>21445</v>
      </c>
      <c r="GV17" s="13">
        <v>20278</v>
      </c>
      <c r="GW17" s="13">
        <v>18461</v>
      </c>
      <c r="GX17" s="13">
        <v>18353</v>
      </c>
      <c r="GY17" s="13">
        <v>15034</v>
      </c>
      <c r="GZ17" s="13">
        <v>14590</v>
      </c>
      <c r="HA17" s="13">
        <v>13935</v>
      </c>
      <c r="HB17" s="13">
        <v>11762</v>
      </c>
      <c r="HC17" s="13">
        <v>11500</v>
      </c>
      <c r="HD17" s="13">
        <v>7526</v>
      </c>
      <c r="HE17" s="13">
        <v>7218</v>
      </c>
      <c r="HF17" s="13">
        <v>6988</v>
      </c>
      <c r="HG17" s="13">
        <v>7108</v>
      </c>
      <c r="HH17" s="13">
        <v>7204</v>
      </c>
      <c r="HI17" s="13">
        <v>6925</v>
      </c>
      <c r="HJ17" s="13">
        <v>4072</v>
      </c>
      <c r="HK17" s="13">
        <v>3651</v>
      </c>
      <c r="HL17" s="13">
        <v>3313</v>
      </c>
      <c r="HM17" s="13">
        <v>3577</v>
      </c>
      <c r="HN17" s="13">
        <v>3267</v>
      </c>
      <c r="HO17" s="13">
        <v>3494</v>
      </c>
      <c r="HP17" s="13">
        <v>3739</v>
      </c>
      <c r="HQ17" s="13">
        <v>3580</v>
      </c>
      <c r="HR17" s="13">
        <v>3796</v>
      </c>
      <c r="HS17" s="13">
        <v>3840</v>
      </c>
      <c r="HT17" s="13">
        <v>4214</v>
      </c>
      <c r="HU17" s="13">
        <v>3940</v>
      </c>
      <c r="HV17" s="13">
        <v>3988</v>
      </c>
      <c r="HW17" s="13">
        <v>4201</v>
      </c>
      <c r="HX17" s="13">
        <v>4993</v>
      </c>
      <c r="HY17" s="13">
        <v>5589</v>
      </c>
      <c r="HZ17" s="13">
        <v>5910</v>
      </c>
      <c r="IA17" s="13">
        <v>6479</v>
      </c>
      <c r="IB17" s="13">
        <v>6809</v>
      </c>
      <c r="IC17" s="13">
        <v>7012</v>
      </c>
      <c r="ID17" s="13">
        <v>7445</v>
      </c>
      <c r="IE17" s="13">
        <v>7876</v>
      </c>
      <c r="IF17" s="13">
        <v>8044</v>
      </c>
      <c r="IG17" s="13">
        <v>8011</v>
      </c>
      <c r="IH17" s="13">
        <v>7557</v>
      </c>
      <c r="II17" s="13">
        <v>7591</v>
      </c>
      <c r="IJ17" s="13">
        <v>7236</v>
      </c>
      <c r="IK17" s="13">
        <v>6339</v>
      </c>
      <c r="IL17" s="13">
        <v>6023</v>
      </c>
      <c r="IM17" s="13">
        <v>5856</v>
      </c>
      <c r="IN17" s="13">
        <v>5220</v>
      </c>
      <c r="IO17" s="13">
        <v>4683</v>
      </c>
      <c r="IP17" s="13">
        <v>4340</v>
      </c>
      <c r="IQ17" s="13">
        <v>3852</v>
      </c>
      <c r="IR17" s="13">
        <v>3358</v>
      </c>
      <c r="IS17" s="13">
        <v>3197</v>
      </c>
      <c r="IT17" s="13">
        <v>3124</v>
      </c>
      <c r="IU17" s="13">
        <v>3179</v>
      </c>
      <c r="IV17" s="13">
        <v>2892</v>
      </c>
      <c r="IW17" s="13">
        <v>2971</v>
      </c>
      <c r="IX17" s="13">
        <v>3232</v>
      </c>
      <c r="IY17" s="13">
        <v>3389</v>
      </c>
      <c r="IZ17" s="13">
        <v>3890</v>
      </c>
      <c r="JA17" s="13">
        <v>4117</v>
      </c>
      <c r="JB17" s="13">
        <v>4360</v>
      </c>
      <c r="JC17" s="13">
        <v>4609</v>
      </c>
      <c r="JD17" s="13">
        <v>4642</v>
      </c>
      <c r="JE17" s="13">
        <v>4723</v>
      </c>
      <c r="JF17" s="13">
        <v>5183</v>
      </c>
      <c r="JG17" s="13">
        <v>5545</v>
      </c>
      <c r="JH17" s="13">
        <v>5591</v>
      </c>
      <c r="JI17" s="13">
        <v>5641</v>
      </c>
      <c r="JJ17" s="13">
        <v>5796</v>
      </c>
      <c r="JK17" s="13">
        <v>5616</v>
      </c>
      <c r="JL17" s="13">
        <v>5152</v>
      </c>
      <c r="JM17" s="13">
        <v>5154</v>
      </c>
      <c r="JN17" s="13">
        <v>5085</v>
      </c>
      <c r="JO17" s="13">
        <v>4958</v>
      </c>
      <c r="JP17" s="13">
        <v>4864</v>
      </c>
      <c r="JQ17" s="13">
        <v>4893</v>
      </c>
      <c r="JR17" s="13">
        <v>5054</v>
      </c>
      <c r="JS17" s="13">
        <v>4970</v>
      </c>
      <c r="JT17" s="13">
        <v>4724</v>
      </c>
      <c r="JU17" s="13">
        <v>5053</v>
      </c>
      <c r="JV17" s="13">
        <v>5211</v>
      </c>
      <c r="JW17" s="13">
        <v>5291</v>
      </c>
      <c r="JX17" s="13">
        <v>5317</v>
      </c>
      <c r="JY17" s="13">
        <v>5470</v>
      </c>
      <c r="JZ17" s="13">
        <v>5501</v>
      </c>
      <c r="KA17" s="13">
        <v>5840</v>
      </c>
      <c r="KB17" s="13">
        <v>5859</v>
      </c>
      <c r="KC17" s="13">
        <v>6167</v>
      </c>
      <c r="KD17" s="13">
        <v>6537</v>
      </c>
      <c r="KE17" s="13">
        <v>6973</v>
      </c>
      <c r="KF17" s="13">
        <v>7152</v>
      </c>
      <c r="KG17" s="13">
        <v>7392</v>
      </c>
      <c r="KH17" s="13">
        <v>7539</v>
      </c>
      <c r="KI17" s="13">
        <v>7873</v>
      </c>
      <c r="KJ17" s="13">
        <v>7761</v>
      </c>
      <c r="KK17" s="13">
        <v>8032</v>
      </c>
      <c r="KL17" s="13">
        <v>8283</v>
      </c>
      <c r="KM17" s="13">
        <v>8014</v>
      </c>
      <c r="KN17" s="13">
        <v>8443</v>
      </c>
      <c r="KO17" s="13">
        <v>8308</v>
      </c>
      <c r="KP17" s="13">
        <v>8493</v>
      </c>
      <c r="KQ17" s="13">
        <v>8362</v>
      </c>
      <c r="KR17" s="13">
        <v>8429</v>
      </c>
      <c r="KS17" s="13">
        <v>8796</v>
      </c>
      <c r="KT17" s="13">
        <v>8791</v>
      </c>
      <c r="KU17" s="13">
        <v>8694</v>
      </c>
      <c r="KV17" s="13">
        <v>8632</v>
      </c>
      <c r="KW17" s="13">
        <v>8893</v>
      </c>
      <c r="KX17" s="13">
        <v>8970</v>
      </c>
      <c r="KY17" s="13">
        <v>8484</v>
      </c>
      <c r="KZ17" s="13">
        <v>8309</v>
      </c>
      <c r="LA17" s="13">
        <v>8612</v>
      </c>
      <c r="LB17" s="13">
        <v>9655</v>
      </c>
      <c r="LC17" s="13">
        <v>9722</v>
      </c>
      <c r="LD17" s="13">
        <v>10435</v>
      </c>
      <c r="LE17" s="13">
        <v>11176</v>
      </c>
      <c r="LF17" s="13">
        <v>12510</v>
      </c>
      <c r="LG17" s="13">
        <v>13334</v>
      </c>
      <c r="LH17" s="13">
        <v>14499</v>
      </c>
      <c r="LI17" s="13">
        <v>16154</v>
      </c>
      <c r="LJ17" s="13">
        <v>17436</v>
      </c>
      <c r="LK17" s="13">
        <v>18286</v>
      </c>
      <c r="LL17" s="13">
        <v>19533</v>
      </c>
      <c r="LM17" s="13">
        <v>20072</v>
      </c>
      <c r="LN17" s="13">
        <v>20314</v>
      </c>
      <c r="LO17" s="13">
        <v>19853</v>
      </c>
      <c r="LP17" s="13">
        <v>19235</v>
      </c>
      <c r="LQ17" s="13">
        <v>18581</v>
      </c>
      <c r="LR17" s="13">
        <v>17198</v>
      </c>
      <c r="LS17" s="13">
        <v>16005</v>
      </c>
      <c r="LT17" s="13">
        <v>14714</v>
      </c>
      <c r="LU17" s="13">
        <v>13356</v>
      </c>
      <c r="LV17" s="13">
        <v>12077</v>
      </c>
      <c r="LW17" s="13">
        <v>10701</v>
      </c>
      <c r="LX17" s="13">
        <v>10071</v>
      </c>
      <c r="LY17" s="13">
        <v>9371</v>
      </c>
      <c r="LZ17" s="13">
        <v>8989</v>
      </c>
      <c r="MA17" s="13">
        <v>9144</v>
      </c>
      <c r="MB17" s="13">
        <v>9222</v>
      </c>
      <c r="MC17" s="13">
        <v>9351</v>
      </c>
      <c r="MD17" s="13">
        <v>9582</v>
      </c>
      <c r="ME17" s="13">
        <v>10189</v>
      </c>
      <c r="MF17" s="13">
        <v>10879</v>
      </c>
      <c r="MG17" s="13">
        <v>12161</v>
      </c>
      <c r="MH17" s="13">
        <v>13701</v>
      </c>
      <c r="MI17" s="13">
        <v>14607</v>
      </c>
      <c r="MJ17" s="13">
        <v>16982</v>
      </c>
      <c r="MK17" s="13">
        <v>20146</v>
      </c>
      <c r="ML17" s="13">
        <v>23074</v>
      </c>
      <c r="MM17" s="13">
        <v>26730</v>
      </c>
      <c r="MN17" s="13">
        <v>29896</v>
      </c>
      <c r="MO17" s="13">
        <v>32870</v>
      </c>
      <c r="MP17" s="13">
        <v>36432</v>
      </c>
      <c r="MQ17" s="13">
        <v>40651</v>
      </c>
      <c r="MR17" s="13">
        <v>46219</v>
      </c>
      <c r="MS17" s="13">
        <v>51856</v>
      </c>
      <c r="MT17" s="13">
        <v>58233</v>
      </c>
      <c r="MU17" s="13">
        <v>65225</v>
      </c>
      <c r="MV17" s="13">
        <v>71572</v>
      </c>
      <c r="MW17" s="13">
        <v>79108</v>
      </c>
      <c r="MX17" s="13">
        <v>87902</v>
      </c>
      <c r="MY17" s="13">
        <v>97481</v>
      </c>
      <c r="MZ17" s="13">
        <v>106089</v>
      </c>
      <c r="NA17" s="13">
        <v>113564</v>
      </c>
      <c r="NB17" s="13">
        <v>120302</v>
      </c>
      <c r="NC17" s="13">
        <v>126363</v>
      </c>
      <c r="ND17" s="13">
        <v>135881</v>
      </c>
      <c r="NE17" s="13">
        <v>141552</v>
      </c>
      <c r="NF17" s="13">
        <v>150539</v>
      </c>
      <c r="NG17" s="13">
        <v>158764</v>
      </c>
      <c r="NH17" s="13">
        <v>169039</v>
      </c>
      <c r="NI17" s="11">
        <v>177984</v>
      </c>
      <c r="NJ17" s="11">
        <v>181386</v>
      </c>
      <c r="NK17" s="13">
        <v>185037</v>
      </c>
      <c r="NL17" s="13">
        <v>187728</v>
      </c>
      <c r="NM17" s="11">
        <v>187518</v>
      </c>
      <c r="NN17" s="11">
        <v>188183</v>
      </c>
      <c r="NO17" s="11">
        <v>189660</v>
      </c>
      <c r="NP17" s="11">
        <v>186045</v>
      </c>
      <c r="NQ17" s="11">
        <v>186354</v>
      </c>
      <c r="NR17" s="11">
        <v>185555</v>
      </c>
      <c r="NS17" s="11">
        <v>171329</v>
      </c>
      <c r="NT17" s="11">
        <v>152700</v>
      </c>
      <c r="NU17" s="11">
        <v>137594</v>
      </c>
      <c r="NV17" s="11">
        <v>118478</v>
      </c>
      <c r="NW17" s="11">
        <v>102427</v>
      </c>
      <c r="NX17" s="11">
        <v>81947</v>
      </c>
      <c r="NY17" s="11">
        <v>59990</v>
      </c>
      <c r="NZ17" s="11">
        <v>44132</v>
      </c>
      <c r="OA17" s="11">
        <v>30453</v>
      </c>
      <c r="OB17" s="11">
        <v>21556</v>
      </c>
      <c r="OC17" s="11">
        <v>13967</v>
      </c>
      <c r="OD17" s="11">
        <v>8420</v>
      </c>
      <c r="OE17" s="11">
        <v>4928</v>
      </c>
      <c r="OF17" s="11">
        <v>1394</v>
      </c>
      <c r="OG17" s="11">
        <v>922</v>
      </c>
    </row>
    <row r="18" spans="1:397">
      <c r="A18" s="13" t="s">
        <v>57</v>
      </c>
      <c r="B18" s="16">
        <f t="shared" ref="B18:C18" si="19">B12/B14</f>
        <v>0.94299456666963566</v>
      </c>
      <c r="C18" s="16">
        <f t="shared" si="19"/>
        <v>0.94258735496514712</v>
      </c>
      <c r="D18" s="16">
        <f t="shared" ref="D18:E18" si="20">D12/D14</f>
        <v>0.94216827217551091</v>
      </c>
      <c r="E18" s="16">
        <f t="shared" si="20"/>
        <v>0.94162917093598253</v>
      </c>
      <c r="F18" s="16">
        <f t="shared" ref="F18:G18" si="21">F12/F14</f>
        <v>0.94126230896047769</v>
      </c>
      <c r="G18" s="16">
        <f t="shared" si="21"/>
        <v>0.94067711640653717</v>
      </c>
      <c r="H18" s="16">
        <f t="shared" ref="H18:I18" si="22">H12/H14</f>
        <v>0.93984803244351356</v>
      </c>
      <c r="I18" s="16">
        <f t="shared" si="22"/>
        <v>0.93920755894281771</v>
      </c>
      <c r="J18" s="16">
        <f t="shared" ref="J18:K18" si="23">J12/J14</f>
        <v>0.93854194526165646</v>
      </c>
      <c r="K18" s="16">
        <f t="shared" si="23"/>
        <v>0.93753761116187839</v>
      </c>
      <c r="L18" s="16">
        <f t="shared" ref="L18:M18" si="24">L12/L14</f>
        <v>0.93654703522068661</v>
      </c>
      <c r="M18" s="16">
        <f t="shared" si="24"/>
        <v>0.93585713330212028</v>
      </c>
      <c r="N18" s="16">
        <f t="shared" ref="N18:O18" si="25">N12/N14</f>
        <v>0.9352004638094813</v>
      </c>
      <c r="O18" s="16">
        <f t="shared" si="25"/>
        <v>0.93453462829361844</v>
      </c>
      <c r="P18" s="16">
        <f t="shared" ref="P18:U18" si="26">P12/P14</f>
        <v>0.93375637065206485</v>
      </c>
      <c r="Q18" s="16">
        <f t="shared" si="26"/>
        <v>0.93254804850026218</v>
      </c>
      <c r="R18" s="16">
        <f t="shared" si="26"/>
        <v>0.93135384237717445</v>
      </c>
      <c r="S18" s="16">
        <f t="shared" si="26"/>
        <v>0.9305980311181552</v>
      </c>
      <c r="T18" s="16">
        <f t="shared" si="26"/>
        <v>0.9302174981019159</v>
      </c>
      <c r="U18" s="16">
        <f t="shared" si="26"/>
        <v>0.92958155537186393</v>
      </c>
      <c r="V18" s="16">
        <f t="shared" ref="V18" si="27">V12/V14</f>
        <v>0.92902829028290279</v>
      </c>
      <c r="W18" s="16">
        <f t="shared" ref="W18:X18" si="28">W12/W14</f>
        <v>0.92796885139519791</v>
      </c>
      <c r="X18" s="16">
        <f t="shared" si="28"/>
        <v>0.92772541029487499</v>
      </c>
      <c r="Y18" s="16">
        <f t="shared" ref="Y18:Z18" si="29">Y12/Y14</f>
        <v>0.92721121964333719</v>
      </c>
      <c r="Z18" s="16">
        <f t="shared" si="29"/>
        <v>0.9268921600502259</v>
      </c>
      <c r="AA18" s="16">
        <f t="shared" ref="AA18:AB18" si="30">AA12/AA14</f>
        <v>0.92722886158334739</v>
      </c>
      <c r="AB18" s="16">
        <f t="shared" si="30"/>
        <v>0.92768931689721434</v>
      </c>
      <c r="AC18" s="16">
        <f t="shared" ref="AC18:AD18" si="31">AC12/AC14</f>
        <v>0.92818661357987198</v>
      </c>
      <c r="AD18" s="16">
        <f t="shared" si="31"/>
        <v>0.92895590288725738</v>
      </c>
      <c r="AE18" s="16">
        <f t="shared" ref="AE18:AF18" si="32">AE12/AE14</f>
        <v>0.92973021724670524</v>
      </c>
      <c r="AF18" s="16">
        <f t="shared" si="32"/>
        <v>0.93102747383041429</v>
      </c>
      <c r="AG18" s="16">
        <f t="shared" ref="AG18:AH18" si="33">AG12/AG14</f>
        <v>0.93191941574151538</v>
      </c>
      <c r="AH18" s="16">
        <f t="shared" si="33"/>
        <v>0.93280202861800399</v>
      </c>
      <c r="AI18" s="16">
        <f t="shared" ref="AI18:AJ18" si="34">AI12/AI14</f>
        <v>0.93380711120178628</v>
      </c>
      <c r="AJ18" s="16">
        <f t="shared" si="34"/>
        <v>0.93476928663837122</v>
      </c>
      <c r="AK18" s="16">
        <f t="shared" ref="AK18:AL18" si="35">AK12/AK14</f>
        <v>0.93594581079238082</v>
      </c>
      <c r="AL18" s="16">
        <f t="shared" si="35"/>
        <v>0.93716133145120895</v>
      </c>
      <c r="AM18" s="16">
        <f t="shared" ref="AM18:AN18" si="36">AM12/AM14</f>
        <v>0.93822543497594235</v>
      </c>
      <c r="AN18" s="16">
        <f t="shared" si="36"/>
        <v>0.93913758262835223</v>
      </c>
      <c r="AO18" s="16">
        <f t="shared" ref="AO18:AP18" si="37">AO12/AO14</f>
        <v>0.93937351489672816</v>
      </c>
      <c r="AP18" s="16">
        <f t="shared" si="37"/>
        <v>0.94027426715313445</v>
      </c>
      <c r="AQ18" s="16">
        <f t="shared" ref="AQ18:AR18" si="38">AQ12/AQ14</f>
        <v>0.94083375303328598</v>
      </c>
      <c r="AR18" s="16">
        <f t="shared" si="38"/>
        <v>0.94097170535090635</v>
      </c>
      <c r="AS18" s="16">
        <f t="shared" ref="AS18:AT18" si="39">AS12/AS14</f>
        <v>0.94134833520474803</v>
      </c>
      <c r="AT18" s="16">
        <f t="shared" si="39"/>
        <v>0.94178753654761227</v>
      </c>
      <c r="AU18" s="16">
        <f t="shared" ref="AU18:AV18" si="40">AU12/AU14</f>
        <v>0.94189234139683198</v>
      </c>
      <c r="AV18" s="16">
        <f t="shared" si="40"/>
        <v>0.94211130235226626</v>
      </c>
      <c r="AW18" s="16">
        <f t="shared" ref="AW18:AX18" si="41">AW12/AW14</f>
        <v>0.94227303511369764</v>
      </c>
      <c r="AX18" s="16">
        <f t="shared" si="41"/>
        <v>0.94239491118689223</v>
      </c>
      <c r="AY18" s="16">
        <f t="shared" ref="AY18:AZ18" si="42">AY12/AY14</f>
        <v>0.94252965970300095</v>
      </c>
      <c r="AZ18" s="16">
        <f t="shared" si="42"/>
        <v>0.94254009098010383</v>
      </c>
      <c r="BA18" s="16">
        <f t="shared" ref="BA18:BB18" si="43">BA12/BA14</f>
        <v>0.94266147287623381</v>
      </c>
      <c r="BB18" s="16">
        <f t="shared" si="43"/>
        <v>0.9427376067491926</v>
      </c>
      <c r="BC18" s="16">
        <f t="shared" ref="BC18" si="44">BC12/BC14</f>
        <v>0.94282330757910227</v>
      </c>
      <c r="BD18" s="16">
        <f t="shared" ref="BD18:BE18" si="45">BD12/BD14</f>
        <v>0.94286700017250302</v>
      </c>
      <c r="BE18" s="16">
        <f t="shared" si="45"/>
        <v>0.94292156028205631</v>
      </c>
      <c r="BF18" s="16">
        <f t="shared" ref="BF18:BG18" si="46">BF12/BF14</f>
        <v>0.94300047173610391</v>
      </c>
      <c r="BG18" s="16">
        <f t="shared" si="46"/>
        <v>0.94304882679892754</v>
      </c>
      <c r="BH18" s="16">
        <f t="shared" ref="BH18:BI18" si="47">BH12/BH14</f>
        <v>0.94298013397481639</v>
      </c>
      <c r="BI18" s="16">
        <f t="shared" si="47"/>
        <v>0.94292424050560053</v>
      </c>
      <c r="BJ18" s="16">
        <f t="shared" ref="BJ18:BK18" si="48">BJ12/BJ14</f>
        <v>0.94298346612628381</v>
      </c>
      <c r="BK18" s="16">
        <f t="shared" si="48"/>
        <v>0.94307201511015903</v>
      </c>
      <c r="BL18" s="16">
        <f t="shared" ref="BL18:BM18" si="49">BL12/BL14</f>
        <v>0.94307997143054623</v>
      </c>
      <c r="BM18" s="16">
        <f t="shared" si="49"/>
        <v>0.94310338867828869</v>
      </c>
      <c r="BN18" s="16">
        <f t="shared" ref="BN18:BO18" si="50">BN12/BN14</f>
        <v>0.94313009207508902</v>
      </c>
      <c r="BO18" s="16">
        <f t="shared" si="50"/>
        <v>0.94296415811916556</v>
      </c>
      <c r="BP18" s="16">
        <f t="shared" ref="BP18:BQ18" si="51">BP12/BP14</f>
        <v>0.94299084810622646</v>
      </c>
      <c r="BQ18" s="16">
        <f t="shared" si="51"/>
        <v>0.94296814655122718</v>
      </c>
      <c r="BR18" s="16">
        <f t="shared" ref="BR18:BS18" si="52">BR12/BR14</f>
        <v>0.94303833957912941</v>
      </c>
      <c r="BS18" s="16">
        <f t="shared" si="52"/>
        <v>0.94317251242776901</v>
      </c>
      <c r="BT18" s="16">
        <f t="shared" ref="BT18:BU18" si="53">BT12/BT14</f>
        <v>0.94317552602436328</v>
      </c>
      <c r="BU18" s="16">
        <f t="shared" si="53"/>
        <v>0.94324645506674509</v>
      </c>
      <c r="BV18" s="16">
        <f t="shared" ref="BV18:BW18" si="54">BV12/BV14</f>
        <v>0.9432501355857883</v>
      </c>
      <c r="BW18" s="16">
        <f t="shared" si="54"/>
        <v>0.94328647600581672</v>
      </c>
      <c r="BX18" s="16">
        <f t="shared" ref="BX18" si="55">BX12/BX14</f>
        <v>0.94326707759078421</v>
      </c>
      <c r="BY18" s="16">
        <f t="shared" ref="BY18:BZ18" si="56">BY12/BY14</f>
        <v>0.94328034264999594</v>
      </c>
      <c r="BZ18" s="16">
        <f t="shared" si="56"/>
        <v>0.94333783674553406</v>
      </c>
      <c r="CA18" s="16">
        <f t="shared" ref="CA18:CB18" si="57">CA12/CA14</f>
        <v>0.94334981058856138</v>
      </c>
      <c r="CB18" s="16">
        <f t="shared" si="57"/>
        <v>0.94339644437256687</v>
      </c>
      <c r="CC18" s="16">
        <f t="shared" ref="CC18:CD18" si="58">CC12/CC14</f>
        <v>0.94336287275710273</v>
      </c>
      <c r="CD18" s="16">
        <f t="shared" si="58"/>
        <v>0.94325298698897642</v>
      </c>
      <c r="CE18" s="16">
        <f t="shared" ref="CE18:CF18" si="59">CE12/CE14</f>
        <v>0.9432451173003582</v>
      </c>
      <c r="CF18" s="16">
        <f t="shared" si="59"/>
        <v>0.94319863140373594</v>
      </c>
      <c r="CG18" s="16">
        <f t="shared" ref="CG18:CH18" si="60">CG12/CG14</f>
        <v>0.94313360539184521</v>
      </c>
      <c r="CH18" s="16">
        <f t="shared" si="60"/>
        <v>0.94292155615931561</v>
      </c>
      <c r="CI18" s="16">
        <f t="shared" ref="CI18" si="61">CI12/CI14</f>
        <v>0.94288357035495429</v>
      </c>
      <c r="CJ18" s="16">
        <f t="shared" ref="CJ18:CK18" si="62">CJ12/CJ14</f>
        <v>0.94288126380552573</v>
      </c>
      <c r="CK18" s="16">
        <f t="shared" si="62"/>
        <v>0.94268134715025909</v>
      </c>
      <c r="CL18" s="16">
        <f t="shared" ref="CL18:CM18" si="63">CL12/CL14</f>
        <v>0.94274773836792303</v>
      </c>
      <c r="CM18" s="16">
        <f t="shared" si="63"/>
        <v>0.94272888199835703</v>
      </c>
      <c r="CN18" s="16">
        <f t="shared" ref="CN18:CO18" si="64">CN12/CN14</f>
        <v>0.94281019279283451</v>
      </c>
      <c r="CO18" s="16">
        <f t="shared" si="64"/>
        <v>0.94276487881663928</v>
      </c>
      <c r="CP18" s="16">
        <f t="shared" ref="CP18:CQ18" si="65">CP12/CP14</f>
        <v>0.94271888493997524</v>
      </c>
      <c r="CQ18" s="16">
        <f t="shared" si="65"/>
        <v>0.94259514409105116</v>
      </c>
      <c r="CR18" s="16">
        <f t="shared" ref="CR18:CS18" si="66">CR12/CR14</f>
        <v>0.94225402670186775</v>
      </c>
      <c r="CS18" s="16">
        <f t="shared" si="66"/>
        <v>0.94200078752924277</v>
      </c>
      <c r="CT18" s="16">
        <f t="shared" ref="CT18:CU18" si="67">CT12/CT14</f>
        <v>0.9418680071347495</v>
      </c>
      <c r="CU18" s="16">
        <f t="shared" si="67"/>
        <v>0.94182450043440491</v>
      </c>
      <c r="CV18" s="16">
        <f t="shared" ref="CV18:CW18" si="68">CV12/CV14</f>
        <v>0.9417428482046647</v>
      </c>
      <c r="CW18" s="16">
        <f t="shared" si="68"/>
        <v>0.94151728293491233</v>
      </c>
      <c r="CX18" s="16">
        <f t="shared" ref="CX18:CY18" si="69">CX12/CX14</f>
        <v>0.94140280932733766</v>
      </c>
      <c r="CY18" s="16">
        <f t="shared" si="69"/>
        <v>0.94134489433966639</v>
      </c>
      <c r="CZ18" s="16">
        <f t="shared" ref="CZ18:DA18" si="70">CZ12/CZ14</f>
        <v>0.94135312192011134</v>
      </c>
      <c r="DA18" s="16">
        <f t="shared" si="70"/>
        <v>0.94149306361063423</v>
      </c>
      <c r="DB18" s="16">
        <f t="shared" ref="DB18:DC18" si="71">DB12/DB14</f>
        <v>0.9413696277731366</v>
      </c>
      <c r="DC18" s="16">
        <f t="shared" si="71"/>
        <v>0.94134716950470687</v>
      </c>
      <c r="DD18" s="16">
        <f t="shared" ref="DD18:DE18" si="72">DD12/DD14</f>
        <v>0.94154328514196128</v>
      </c>
      <c r="DE18" s="16">
        <f t="shared" si="72"/>
        <v>0.94161720120343373</v>
      </c>
      <c r="DF18" s="16">
        <f t="shared" ref="DF18:DG18" si="73">DF12/DF14</f>
        <v>0.94161728825374691</v>
      </c>
      <c r="DG18" s="16">
        <f t="shared" si="73"/>
        <v>0.94190953371851061</v>
      </c>
      <c r="DH18" s="16">
        <f t="shared" ref="DH18:DI18" si="74">DH12/DH14</f>
        <v>0.94193983511052715</v>
      </c>
      <c r="DI18" s="16">
        <f t="shared" si="74"/>
        <v>0.9419701534202598</v>
      </c>
      <c r="DJ18" s="16">
        <f t="shared" ref="DJ18:DK18" si="75">DJ12/DJ14</f>
        <v>0.94213404700954151</v>
      </c>
      <c r="DK18" s="16">
        <f t="shared" si="75"/>
        <v>0.94212884828027699</v>
      </c>
      <c r="DL18" s="16">
        <f t="shared" ref="DL18:DM18" si="76">DL12/DL14</f>
        <v>0.94256300368006707</v>
      </c>
      <c r="DM18" s="16">
        <f t="shared" si="76"/>
        <v>0.94293104653601467</v>
      </c>
      <c r="DN18" s="16">
        <f t="shared" ref="DN18:DO18" si="77">DN12/DN14</f>
        <v>0.9429087518937187</v>
      </c>
      <c r="DO18" s="16">
        <f t="shared" si="77"/>
        <v>0.94289544235924938</v>
      </c>
      <c r="DP18" s="16">
        <f t="shared" ref="DP18:IF18" si="78">DP12/DP14</f>
        <v>0.94288545613523755</v>
      </c>
      <c r="DQ18" s="16">
        <f t="shared" si="78"/>
        <v>0.94306506350076391</v>
      </c>
      <c r="DR18" s="16">
        <f t="shared" si="78"/>
        <v>0.94308810320894909</v>
      </c>
      <c r="DS18" s="16">
        <f t="shared" si="78"/>
        <v>0.94305547453771221</v>
      </c>
      <c r="DT18" s="16">
        <f t="shared" si="78"/>
        <v>0.94291981704471206</v>
      </c>
      <c r="DU18" s="16">
        <f t="shared" si="78"/>
        <v>0.94301219583357643</v>
      </c>
      <c r="DV18" s="16">
        <f t="shared" si="78"/>
        <v>0.94296853114203005</v>
      </c>
      <c r="DW18" s="16">
        <f t="shared" si="78"/>
        <v>0.94287815641088502</v>
      </c>
      <c r="DX18" s="16">
        <f t="shared" si="78"/>
        <v>0.94293954183499518</v>
      </c>
      <c r="DY18" s="16">
        <f t="shared" si="78"/>
        <v>0.94307537782345663</v>
      </c>
      <c r="DZ18" s="16">
        <f t="shared" si="78"/>
        <v>0.94305638294144445</v>
      </c>
      <c r="EA18" s="16">
        <f t="shared" si="78"/>
        <v>0.94319496208713538</v>
      </c>
      <c r="EB18" s="16">
        <f t="shared" si="78"/>
        <v>0.94316296244361864</v>
      </c>
      <c r="EC18" s="16">
        <f t="shared" si="78"/>
        <v>0.94328926914220934</v>
      </c>
      <c r="ED18" s="16">
        <f t="shared" si="78"/>
        <v>0.94341563786008231</v>
      </c>
      <c r="EE18" s="16">
        <f t="shared" si="78"/>
        <v>0.9434057132166368</v>
      </c>
      <c r="EF18" s="16">
        <f t="shared" si="78"/>
        <v>0.94346198830409356</v>
      </c>
      <c r="EG18" s="16">
        <f t="shared" si="78"/>
        <v>0.94339622641509435</v>
      </c>
      <c r="EH18" s="16">
        <f t="shared" si="78"/>
        <v>0.94329800425820642</v>
      </c>
      <c r="EI18" s="16">
        <f t="shared" si="78"/>
        <v>0.94334854334854334</v>
      </c>
      <c r="EJ18" s="16">
        <f t="shared" si="78"/>
        <v>0.94348741954359272</v>
      </c>
      <c r="EK18" s="16">
        <f t="shared" si="78"/>
        <v>0.94354706557108414</v>
      </c>
      <c r="EL18" s="16">
        <f t="shared" si="78"/>
        <v>0.94354045701442213</v>
      </c>
      <c r="EM18" s="16">
        <f t="shared" si="78"/>
        <v>0.94356896995808648</v>
      </c>
      <c r="EN18" s="16">
        <f t="shared" si="78"/>
        <v>0.9435031556268515</v>
      </c>
      <c r="EO18" s="16">
        <f t="shared" si="78"/>
        <v>0.94357256628876607</v>
      </c>
      <c r="EP18" s="16">
        <f t="shared" si="78"/>
        <v>0.94355292133252122</v>
      </c>
      <c r="EQ18" s="16">
        <f t="shared" si="78"/>
        <v>0.9436444798537803</v>
      </c>
      <c r="ER18" s="16">
        <f t="shared" si="78"/>
        <v>0.94374069864185528</v>
      </c>
      <c r="ES18" s="16">
        <f t="shared" si="78"/>
        <v>0.94374252830454042</v>
      </c>
      <c r="ET18" s="16">
        <f t="shared" si="78"/>
        <v>0.94372553156574535</v>
      </c>
      <c r="EU18" s="16">
        <f t="shared" si="78"/>
        <v>0.943709191508317</v>
      </c>
      <c r="EV18" s="16">
        <f t="shared" si="78"/>
        <v>0.94372603960279966</v>
      </c>
      <c r="EW18" s="16">
        <f t="shared" si="78"/>
        <v>0.94364000891067057</v>
      </c>
      <c r="EX18" s="16">
        <f t="shared" si="78"/>
        <v>0.94369070931882415</v>
      </c>
      <c r="EY18" s="16">
        <f t="shared" si="78"/>
        <v>0.94364892282072033</v>
      </c>
      <c r="EZ18" s="16">
        <f t="shared" si="78"/>
        <v>0.9437100463315935</v>
      </c>
      <c r="FA18" s="16">
        <f t="shared" si="78"/>
        <v>0.94397052438895601</v>
      </c>
      <c r="FB18" s="16">
        <f t="shared" si="78"/>
        <v>0.9439411364329805</v>
      </c>
      <c r="FC18" s="16">
        <f t="shared" si="78"/>
        <v>0.94394497781742215</v>
      </c>
      <c r="FD18" s="16">
        <f t="shared" si="78"/>
        <v>0.94390450031692374</v>
      </c>
      <c r="FE18" s="16">
        <f t="shared" si="78"/>
        <v>0.94382747933884292</v>
      </c>
      <c r="FF18" s="16">
        <f t="shared" si="78"/>
        <v>0.94378566229130956</v>
      </c>
      <c r="FG18" s="16">
        <f t="shared" si="78"/>
        <v>0.94374647755025365</v>
      </c>
      <c r="FH18" s="16">
        <f t="shared" si="78"/>
        <v>0.94368959402487285</v>
      </c>
      <c r="FI18" s="16">
        <f t="shared" si="78"/>
        <v>0.94363798651727626</v>
      </c>
      <c r="FJ18" s="16">
        <f t="shared" si="78"/>
        <v>0.94351921450718779</v>
      </c>
      <c r="FK18" s="16">
        <f t="shared" si="78"/>
        <v>0.94345384922592623</v>
      </c>
      <c r="FL18" s="16">
        <f t="shared" si="78"/>
        <v>0.94337539061582198</v>
      </c>
      <c r="FM18" s="16">
        <f t="shared" si="78"/>
        <v>0.9432747438669048</v>
      </c>
      <c r="FN18" s="16">
        <f t="shared" si="78"/>
        <v>0.94313882164931495</v>
      </c>
      <c r="FO18" s="16">
        <f t="shared" si="78"/>
        <v>0.94327491566463317</v>
      </c>
      <c r="FP18" s="16">
        <f t="shared" si="78"/>
        <v>0.94298008417785506</v>
      </c>
      <c r="FQ18" s="16">
        <f t="shared" si="78"/>
        <v>0.94319704699880091</v>
      </c>
      <c r="FR18" s="16">
        <f t="shared" si="78"/>
        <v>0.9427264603518013</v>
      </c>
      <c r="FS18" s="16">
        <f t="shared" si="78"/>
        <v>0.94263268690242386</v>
      </c>
      <c r="FT18" s="16">
        <f t="shared" si="78"/>
        <v>0.94241490437769049</v>
      </c>
      <c r="FU18" s="16">
        <f t="shared" si="78"/>
        <v>0.94210297248656083</v>
      </c>
      <c r="FV18" s="16">
        <f t="shared" si="78"/>
        <v>0.94167333301962264</v>
      </c>
      <c r="FW18" s="16">
        <f t="shared" si="78"/>
        <v>0.94139724222316346</v>
      </c>
      <c r="FX18" s="16">
        <f t="shared" si="78"/>
        <v>0.94092797213494783</v>
      </c>
      <c r="FY18" s="16">
        <f t="shared" si="78"/>
        <v>0.94065931479280196</v>
      </c>
      <c r="FZ18" s="16">
        <f t="shared" si="78"/>
        <v>0.94048333745335544</v>
      </c>
      <c r="GA18" s="16">
        <f t="shared" si="78"/>
        <v>0.94009818811146828</v>
      </c>
      <c r="GB18" s="16">
        <f t="shared" si="78"/>
        <v>0.93964694937409465</v>
      </c>
      <c r="GC18" s="16">
        <f t="shared" si="78"/>
        <v>0.9393368278461629</v>
      </c>
      <c r="GD18" s="16">
        <f t="shared" si="78"/>
        <v>0.93870747337668459</v>
      </c>
      <c r="GE18" s="16">
        <f t="shared" si="78"/>
        <v>0.93838884895900843</v>
      </c>
      <c r="GF18" s="16">
        <f t="shared" si="78"/>
        <v>0.93817251823828207</v>
      </c>
      <c r="GG18" s="16">
        <f t="shared" si="78"/>
        <v>0.9380857509990923</v>
      </c>
      <c r="GH18" s="16">
        <f t="shared" si="78"/>
        <v>0.93763560041505523</v>
      </c>
      <c r="GI18" s="16">
        <f t="shared" si="78"/>
        <v>0.93720661429953056</v>
      </c>
      <c r="GJ18" s="16">
        <f t="shared" si="78"/>
        <v>0.9367832365850205</v>
      </c>
      <c r="GK18" s="16">
        <f t="shared" si="78"/>
        <v>0.93633241677189416</v>
      </c>
      <c r="GL18" s="16">
        <f t="shared" si="78"/>
        <v>0.93592407215034468</v>
      </c>
      <c r="GM18" s="16">
        <f t="shared" si="78"/>
        <v>0.9357962866726508</v>
      </c>
      <c r="GN18" s="16">
        <f t="shared" si="78"/>
        <v>0.93558184332123995</v>
      </c>
      <c r="GO18" s="16">
        <f t="shared" si="78"/>
        <v>0.93530426970542346</v>
      </c>
      <c r="GP18" s="16">
        <f t="shared" si="78"/>
        <v>0.93523325252764145</v>
      </c>
      <c r="GQ18" s="16">
        <f t="shared" si="78"/>
        <v>0.9352758849138747</v>
      </c>
      <c r="GR18" s="16">
        <f t="shared" si="78"/>
        <v>0.93556710182149583</v>
      </c>
      <c r="GS18" s="16">
        <f t="shared" si="78"/>
        <v>0.93566489865504832</v>
      </c>
      <c r="GT18" s="16">
        <f t="shared" si="78"/>
        <v>0.93586251006775001</v>
      </c>
      <c r="GU18" s="16">
        <f t="shared" si="78"/>
        <v>0.93622089233868577</v>
      </c>
      <c r="GV18" s="16">
        <f t="shared" si="78"/>
        <v>0.93658773729205447</v>
      </c>
      <c r="GW18" s="16">
        <f t="shared" si="78"/>
        <v>0.93690978977838946</v>
      </c>
      <c r="GX18" s="16">
        <f t="shared" si="78"/>
        <v>0.93812154696132599</v>
      </c>
      <c r="GY18" s="16">
        <f t="shared" si="78"/>
        <v>0.93913871044492025</v>
      </c>
      <c r="GZ18" s="16">
        <f t="shared" si="78"/>
        <v>0.94014935861551474</v>
      </c>
      <c r="HA18" s="16">
        <f t="shared" si="78"/>
        <v>0.94072069709504003</v>
      </c>
      <c r="HB18" s="16">
        <f t="shared" si="78"/>
        <v>0.94128593582249787</v>
      </c>
      <c r="HC18" s="16">
        <f t="shared" si="78"/>
        <v>0.9415759572233362</v>
      </c>
      <c r="HD18" s="16">
        <f t="shared" si="78"/>
        <v>0.94176716417910444</v>
      </c>
      <c r="HE18" s="16">
        <f t="shared" si="78"/>
        <v>0.94178838873030846</v>
      </c>
      <c r="HF18" s="16">
        <f t="shared" si="78"/>
        <v>0.94185671449221686</v>
      </c>
      <c r="HG18" s="16">
        <f t="shared" si="78"/>
        <v>0.94173945252291114</v>
      </c>
      <c r="HH18" s="16">
        <f t="shared" si="78"/>
        <v>0.94164814416481446</v>
      </c>
      <c r="HI18" s="16">
        <f t="shared" si="78"/>
        <v>0.94160889313889551</v>
      </c>
      <c r="HJ18" s="16">
        <f t="shared" si="78"/>
        <v>0.94158576825594187</v>
      </c>
      <c r="HK18" s="16">
        <f t="shared" si="78"/>
        <v>0.94158235870943052</v>
      </c>
      <c r="HL18" s="16">
        <f t="shared" si="78"/>
        <v>0.94147969191025216</v>
      </c>
      <c r="HM18" s="16">
        <f t="shared" si="78"/>
        <v>0.94117998827905414</v>
      </c>
      <c r="HN18" s="16">
        <f t="shared" si="78"/>
        <v>0.941020273907063</v>
      </c>
      <c r="HO18" s="16">
        <f t="shared" si="78"/>
        <v>0.94074304442477452</v>
      </c>
      <c r="HP18" s="16">
        <f t="shared" si="78"/>
        <v>0.94066559800942651</v>
      </c>
      <c r="HQ18" s="16">
        <f t="shared" si="78"/>
        <v>0.94061277471377125</v>
      </c>
      <c r="HR18" s="16">
        <f t="shared" si="78"/>
        <v>0.9404677872824071</v>
      </c>
      <c r="HS18" s="16">
        <f t="shared" si="78"/>
        <v>0.94028547157846876</v>
      </c>
      <c r="HT18" s="16">
        <f t="shared" si="78"/>
        <v>0.9398841717321591</v>
      </c>
      <c r="HU18" s="16">
        <f t="shared" si="78"/>
        <v>0.93972356847962668</v>
      </c>
      <c r="HV18" s="16">
        <f t="shared" si="78"/>
        <v>0.93969386167526359</v>
      </c>
      <c r="HW18" s="16">
        <f t="shared" si="78"/>
        <v>0.93971491149330366</v>
      </c>
      <c r="HX18" s="16">
        <f t="shared" si="78"/>
        <v>0.93972110838470291</v>
      </c>
      <c r="HY18" s="16">
        <f t="shared" si="78"/>
        <v>0.93963515357544714</v>
      </c>
      <c r="HZ18" s="16">
        <f t="shared" si="78"/>
        <v>0.93954774531046126</v>
      </c>
      <c r="IA18" s="16">
        <f t="shared" si="78"/>
        <v>0.93948571839011663</v>
      </c>
      <c r="IB18" s="16">
        <f t="shared" si="78"/>
        <v>0.9393997438076882</v>
      </c>
      <c r="IC18" s="16">
        <f t="shared" si="78"/>
        <v>0.93950569977967235</v>
      </c>
      <c r="ID18" s="16">
        <f t="shared" si="78"/>
        <v>0.93953293413173655</v>
      </c>
      <c r="IE18" s="16">
        <f t="shared" si="78"/>
        <v>0.93964040583112729</v>
      </c>
      <c r="IF18" s="16">
        <f t="shared" si="78"/>
        <v>0.93981692267139538</v>
      </c>
      <c r="IG18" s="16">
        <f t="shared" ref="IG18:JL18" si="79">IG12/IG14</f>
        <v>0.93989143069419645</v>
      </c>
      <c r="IH18" s="16">
        <f t="shared" si="79"/>
        <v>0.94004554716528832</v>
      </c>
      <c r="II18" s="16">
        <f t="shared" si="79"/>
        <v>0.94014481287012397</v>
      </c>
      <c r="IJ18" s="16">
        <f t="shared" si="79"/>
        <v>0.94024893280253252</v>
      </c>
      <c r="IK18" s="16">
        <f t="shared" si="79"/>
        <v>0.94045191777207415</v>
      </c>
      <c r="IL18" s="16">
        <f t="shared" si="79"/>
        <v>0.94070928112102892</v>
      </c>
      <c r="IM18" s="16">
        <f t="shared" si="79"/>
        <v>0.94087008700870089</v>
      </c>
      <c r="IN18" s="16">
        <f t="shared" si="79"/>
        <v>0.94118353282988965</v>
      </c>
      <c r="IO18" s="16">
        <f t="shared" si="79"/>
        <v>0.94131988230348884</v>
      </c>
      <c r="IP18" s="16">
        <f t="shared" si="79"/>
        <v>0.94179353768880447</v>
      </c>
      <c r="IQ18" s="16">
        <f t="shared" si="79"/>
        <v>0.94216227263437569</v>
      </c>
      <c r="IR18" s="16">
        <f t="shared" si="79"/>
        <v>0.94270557667324251</v>
      </c>
      <c r="IS18" s="16">
        <f t="shared" si="79"/>
        <v>0.94332831778513393</v>
      </c>
      <c r="IT18" s="16">
        <f t="shared" si="79"/>
        <v>0.94342916305499369</v>
      </c>
      <c r="IU18" s="16">
        <f t="shared" si="79"/>
        <v>0.94346051506796536</v>
      </c>
      <c r="IV18" s="16">
        <f t="shared" si="79"/>
        <v>0.94353731666787077</v>
      </c>
      <c r="IW18" s="16">
        <f t="shared" si="79"/>
        <v>0.94349915104223114</v>
      </c>
      <c r="IX18" s="16">
        <f t="shared" si="79"/>
        <v>0.94341281310211944</v>
      </c>
      <c r="IY18" s="16">
        <f t="shared" si="79"/>
        <v>0.94334987234452528</v>
      </c>
      <c r="IZ18" s="16">
        <f t="shared" si="79"/>
        <v>0.9433819101529568</v>
      </c>
      <c r="JA18" s="16">
        <f t="shared" si="79"/>
        <v>0.94339190865622025</v>
      </c>
      <c r="JB18" s="16">
        <f t="shared" si="79"/>
        <v>0.94335236443352366</v>
      </c>
      <c r="JC18" s="16">
        <f t="shared" si="79"/>
        <v>0.9433035015237109</v>
      </c>
      <c r="JD18" s="16">
        <f t="shared" si="79"/>
        <v>0.94330418443304187</v>
      </c>
      <c r="JE18" s="16">
        <f t="shared" si="79"/>
        <v>0.94326463254514137</v>
      </c>
      <c r="JF18" s="16">
        <f t="shared" si="79"/>
        <v>0.9434103203575861</v>
      </c>
      <c r="JG18" s="16">
        <f t="shared" si="79"/>
        <v>0.94340895673441849</v>
      </c>
      <c r="JH18" s="16">
        <f t="shared" si="79"/>
        <v>0.94332188686065421</v>
      </c>
      <c r="JI18" s="16">
        <f t="shared" si="79"/>
        <v>0.94328574010482558</v>
      </c>
      <c r="JJ18" s="16">
        <f t="shared" si="79"/>
        <v>0.94321207812707097</v>
      </c>
      <c r="JK18" s="16">
        <f t="shared" si="79"/>
        <v>0.94318729516097932</v>
      </c>
      <c r="JL18" s="16">
        <f t="shared" si="79"/>
        <v>0.94315840212086521</v>
      </c>
      <c r="JM18" s="16">
        <f t="shared" ref="JM18:KR18" si="80">JM12/JM14</f>
        <v>0.94319907440885098</v>
      </c>
      <c r="JN18" s="16">
        <f t="shared" si="80"/>
        <v>0.94319702064576783</v>
      </c>
      <c r="JO18" s="16">
        <f t="shared" si="80"/>
        <v>0.9431608634342119</v>
      </c>
      <c r="JP18" s="16">
        <f t="shared" si="80"/>
        <v>0.94313401713934453</v>
      </c>
      <c r="JQ18" s="16">
        <f t="shared" si="80"/>
        <v>0.94309648647019828</v>
      </c>
      <c r="JR18" s="16">
        <f t="shared" si="80"/>
        <v>0.94311716489874642</v>
      </c>
      <c r="JS18" s="16">
        <f t="shared" si="80"/>
        <v>0.94314921522771655</v>
      </c>
      <c r="JT18" s="16">
        <f t="shared" si="80"/>
        <v>0.94309619395517619</v>
      </c>
      <c r="JU18" s="16">
        <f t="shared" si="80"/>
        <v>0.94306796397439141</v>
      </c>
      <c r="JV18" s="16">
        <f t="shared" si="80"/>
        <v>0.94303835626348975</v>
      </c>
      <c r="JW18" s="16">
        <f t="shared" si="80"/>
        <v>0.94291502369496794</v>
      </c>
      <c r="JX18" s="16">
        <f t="shared" si="80"/>
        <v>0.94287678170899358</v>
      </c>
      <c r="JY18" s="16">
        <f t="shared" si="80"/>
        <v>0.94273929979859861</v>
      </c>
      <c r="JZ18" s="16">
        <f t="shared" si="80"/>
        <v>0.94242504643141412</v>
      </c>
      <c r="KA18" s="16">
        <f t="shared" si="80"/>
        <v>0.94232880182386225</v>
      </c>
      <c r="KB18" s="16">
        <f t="shared" si="80"/>
        <v>0.94159518380445661</v>
      </c>
      <c r="KC18" s="16">
        <f t="shared" si="80"/>
        <v>0.94096711145428658</v>
      </c>
      <c r="KD18" s="16">
        <f t="shared" si="80"/>
        <v>0.94054412740544124</v>
      </c>
      <c r="KE18" s="16">
        <f t="shared" si="80"/>
        <v>0.94001182389633575</v>
      </c>
      <c r="KF18" s="16">
        <f t="shared" si="80"/>
        <v>0.93933470879936298</v>
      </c>
      <c r="KG18" s="16">
        <f t="shared" si="80"/>
        <v>0.938296332046332</v>
      </c>
      <c r="KH18" s="16">
        <f t="shared" si="80"/>
        <v>0.93769079479228257</v>
      </c>
      <c r="KI18" s="16">
        <f t="shared" si="80"/>
        <v>0.93737556561085977</v>
      </c>
      <c r="KJ18" s="16">
        <f t="shared" si="80"/>
        <v>0.93686801650698648</v>
      </c>
      <c r="KK18" s="16">
        <f t="shared" si="80"/>
        <v>0.93661750862880455</v>
      </c>
      <c r="KL18" s="16">
        <f t="shared" si="80"/>
        <v>0.93627652127736605</v>
      </c>
      <c r="KM18" s="16">
        <f t="shared" si="80"/>
        <v>0.93624752523057608</v>
      </c>
      <c r="KN18" s="16">
        <f t="shared" si="80"/>
        <v>0.93533743812628278</v>
      </c>
      <c r="KO18" s="16">
        <f t="shared" si="80"/>
        <v>0.93440544749900389</v>
      </c>
      <c r="KP18" s="16">
        <f t="shared" si="80"/>
        <v>0.93394996136012365</v>
      </c>
      <c r="KQ18" s="16">
        <f t="shared" si="80"/>
        <v>0.93301048258538233</v>
      </c>
      <c r="KR18" s="16">
        <f t="shared" si="80"/>
        <v>0.93247421435300371</v>
      </c>
      <c r="KS18" s="16">
        <f t="shared" ref="KS18:LX18" si="81">KS12/KS14</f>
        <v>0.93191042180026096</v>
      </c>
      <c r="KT18" s="16">
        <f t="shared" si="81"/>
        <v>0.93190990599096157</v>
      </c>
      <c r="KU18" s="16">
        <f t="shared" si="81"/>
        <v>0.93156247356399624</v>
      </c>
      <c r="KV18" s="16">
        <f t="shared" si="81"/>
        <v>0.93143167945851213</v>
      </c>
      <c r="KW18" s="16">
        <f t="shared" si="81"/>
        <v>0.93121290150993119</v>
      </c>
      <c r="KX18" s="16">
        <f t="shared" si="81"/>
        <v>0.93091230106902723</v>
      </c>
      <c r="KY18" s="16">
        <f t="shared" si="81"/>
        <v>0.94596859401756117</v>
      </c>
      <c r="KZ18" s="16">
        <f t="shared" si="81"/>
        <v>0.94557385017315754</v>
      </c>
      <c r="LA18" s="16">
        <f t="shared" si="81"/>
        <v>0.94515434838113532</v>
      </c>
      <c r="LB18" s="16">
        <f t="shared" si="81"/>
        <v>0.94526533592989292</v>
      </c>
      <c r="LC18" s="16">
        <f t="shared" si="81"/>
        <v>0.94543703992590067</v>
      </c>
      <c r="LD18" s="16">
        <f t="shared" si="81"/>
        <v>0.94596903102998064</v>
      </c>
      <c r="LE18" s="16">
        <f t="shared" si="81"/>
        <v>0.94564567131014443</v>
      </c>
      <c r="LF18" s="16">
        <f t="shared" si="81"/>
        <v>0.94509253038539054</v>
      </c>
      <c r="LG18" s="16">
        <f t="shared" si="81"/>
        <v>0.94470795335077384</v>
      </c>
      <c r="LH18" s="16">
        <f t="shared" si="81"/>
        <v>0.94405431857107902</v>
      </c>
      <c r="LI18" s="16">
        <f t="shared" si="81"/>
        <v>0.94333480197777453</v>
      </c>
      <c r="LJ18" s="16">
        <f t="shared" si="81"/>
        <v>0.9423894011191517</v>
      </c>
      <c r="LK18" s="16">
        <f t="shared" si="81"/>
        <v>0.94012665515256189</v>
      </c>
      <c r="LL18" s="16">
        <f t="shared" si="81"/>
        <v>0.93814016172506742</v>
      </c>
      <c r="LM18" s="16">
        <f t="shared" si="81"/>
        <v>0.93649879272941206</v>
      </c>
      <c r="LN18" s="16">
        <f t="shared" si="81"/>
        <v>0.93481619540427197</v>
      </c>
      <c r="LO18" s="16">
        <f t="shared" si="81"/>
        <v>0.93294732451728457</v>
      </c>
      <c r="LP18" s="16">
        <f t="shared" si="81"/>
        <v>0.93003559592488028</v>
      </c>
      <c r="LQ18" s="16">
        <f t="shared" si="81"/>
        <v>0.92643573717751937</v>
      </c>
      <c r="LR18" s="16">
        <f t="shared" si="81"/>
        <v>0.9210875494508195</v>
      </c>
      <c r="LS18" s="16">
        <f t="shared" si="81"/>
        <v>0.9169904106220802</v>
      </c>
      <c r="LT18" s="16">
        <f t="shared" si="81"/>
        <v>0.91100449037337761</v>
      </c>
      <c r="LU18" s="16">
        <f t="shared" si="81"/>
        <v>0.90681868551306366</v>
      </c>
      <c r="LV18" s="16">
        <f t="shared" si="81"/>
        <v>0.90129479740301344</v>
      </c>
      <c r="LW18" s="16">
        <f t="shared" si="81"/>
        <v>0.89653854216763473</v>
      </c>
      <c r="LX18" s="16">
        <f t="shared" si="81"/>
        <v>0.89130702988131372</v>
      </c>
      <c r="LY18" s="16">
        <f t="shared" ref="LY18:ND18" si="82">LY12/LY14</f>
        <v>0.88559154651392458</v>
      </c>
      <c r="LZ18" s="16">
        <f t="shared" si="82"/>
        <v>0.87875307223930732</v>
      </c>
      <c r="MA18" s="16">
        <f t="shared" si="82"/>
        <v>0.87015618821668639</v>
      </c>
      <c r="MB18" s="16">
        <f t="shared" si="82"/>
        <v>0.8603975572972038</v>
      </c>
      <c r="MC18" s="16">
        <f t="shared" si="82"/>
        <v>0.84913638555408566</v>
      </c>
      <c r="MD18" s="16">
        <f t="shared" si="82"/>
        <v>0.83785555280732127</v>
      </c>
      <c r="ME18" s="16">
        <f t="shared" si="82"/>
        <v>0.82765573202711396</v>
      </c>
      <c r="MF18" s="16">
        <f t="shared" si="82"/>
        <v>0.81091012570523602</v>
      </c>
      <c r="MG18" s="16">
        <f t="shared" si="82"/>
        <v>0.79332533132045591</v>
      </c>
      <c r="MH18" s="16">
        <f t="shared" si="82"/>
        <v>0.77720842152166647</v>
      </c>
      <c r="MI18" s="16">
        <f t="shared" si="82"/>
        <v>0.76103642080764566</v>
      </c>
      <c r="MJ18" s="16">
        <f t="shared" si="82"/>
        <v>0.74172177229610914</v>
      </c>
      <c r="MK18" s="16">
        <f t="shared" si="82"/>
        <v>0.72583142379389365</v>
      </c>
      <c r="ML18" s="16">
        <f t="shared" si="82"/>
        <v>0.70716896957680153</v>
      </c>
      <c r="MM18" s="16">
        <f t="shared" si="82"/>
        <v>0.68695986410583876</v>
      </c>
      <c r="MN18" s="16">
        <f t="shared" si="82"/>
        <v>0.66697288707915381</v>
      </c>
      <c r="MO18" s="16">
        <f t="shared" si="82"/>
        <v>0.64725341690606775</v>
      </c>
      <c r="MP18" s="16">
        <f t="shared" si="82"/>
        <v>0.62110377476018441</v>
      </c>
      <c r="MQ18" s="16">
        <f t="shared" si="82"/>
        <v>0.58893837880999611</v>
      </c>
      <c r="MR18" s="16">
        <f t="shared" si="82"/>
        <v>0.55558748922238743</v>
      </c>
      <c r="MS18" s="16">
        <f t="shared" si="82"/>
        <v>0.52145971136500302</v>
      </c>
      <c r="MT18" s="16">
        <f t="shared" si="82"/>
        <v>0.4921325913868595</v>
      </c>
      <c r="MU18" s="16">
        <f t="shared" si="82"/>
        <v>0.4581980107581447</v>
      </c>
      <c r="MV18" s="16">
        <f t="shared" si="82"/>
        <v>0.41396486489929551</v>
      </c>
      <c r="MW18" s="16">
        <f t="shared" si="82"/>
        <v>0.38103351096536175</v>
      </c>
      <c r="MX18" s="16">
        <f t="shared" si="82"/>
        <v>0.35183754410363388</v>
      </c>
      <c r="MY18" s="16">
        <f t="shared" si="82"/>
        <v>0.32059624108878809</v>
      </c>
      <c r="MZ18" s="16">
        <f t="shared" si="82"/>
        <v>0.29749402100447125</v>
      </c>
      <c r="NA18" s="16">
        <f t="shared" si="82"/>
        <v>0.27080274748322147</v>
      </c>
      <c r="NB18" s="16">
        <f t="shared" si="82"/>
        <v>0.24068730152455495</v>
      </c>
      <c r="NC18" s="16">
        <f t="shared" si="82"/>
        <v>0.21542092210874378</v>
      </c>
      <c r="ND18" s="16">
        <f t="shared" si="82"/>
        <v>0.19378580575588056</v>
      </c>
      <c r="NE18" s="16">
        <f t="shared" ref="NE18:OG18" si="83">NE12/NE14</f>
        <v>0.17328400242973108</v>
      </c>
      <c r="NF18" s="16">
        <f t="shared" si="83"/>
        <v>0.15371094857402051</v>
      </c>
      <c r="NG18" s="16">
        <f t="shared" si="83"/>
        <v>0.1375036496350365</v>
      </c>
      <c r="NH18" s="16">
        <f t="shared" si="83"/>
        <v>0.12175900860253865</v>
      </c>
      <c r="NI18" s="16">
        <f t="shared" si="83"/>
        <v>0.10529200795602262</v>
      </c>
      <c r="NJ18" s="16">
        <f t="shared" si="83"/>
        <v>9.8839542505518019E-2</v>
      </c>
      <c r="NK18" s="16">
        <f t="shared" si="83"/>
        <v>0.10615188229234318</v>
      </c>
      <c r="NL18" s="16">
        <f t="shared" si="83"/>
        <v>9.3719217599324542E-2</v>
      </c>
      <c r="NM18" s="16">
        <f t="shared" si="83"/>
        <v>8.1675835801946678E-2</v>
      </c>
      <c r="NN18" s="16">
        <f t="shared" si="83"/>
        <v>7.1213506102478633E-2</v>
      </c>
      <c r="NO18" s="16">
        <f t="shared" si="83"/>
        <v>5.9341168297342671E-2</v>
      </c>
      <c r="NP18" s="16">
        <f t="shared" si="83"/>
        <v>4.9420750296845416E-2</v>
      </c>
      <c r="NQ18" s="16">
        <f t="shared" si="83"/>
        <v>4.1152116496537938E-2</v>
      </c>
      <c r="NR18" s="16">
        <f t="shared" si="83"/>
        <v>3.6671600065778652E-2</v>
      </c>
      <c r="NS18" s="16">
        <f t="shared" si="83"/>
        <v>3.092279087973383E-2</v>
      </c>
      <c r="NT18" s="16">
        <f t="shared" si="83"/>
        <v>2.7608253414705027E-2</v>
      </c>
      <c r="NU18" s="16">
        <f t="shared" si="83"/>
        <v>2.2809457579972183E-2</v>
      </c>
      <c r="NV18" s="16">
        <f t="shared" si="83"/>
        <v>2.0608939021287423E-2</v>
      </c>
      <c r="NW18" s="16">
        <f t="shared" si="83"/>
        <v>1.7643417251341314E-2</v>
      </c>
      <c r="NX18" s="16">
        <f t="shared" si="83"/>
        <v>1.6080923356244326E-2</v>
      </c>
      <c r="NY18" s="16">
        <f t="shared" si="83"/>
        <v>1.7241379310344827E-2</v>
      </c>
      <c r="NZ18" s="16">
        <f t="shared" si="83"/>
        <v>1.3289036544850499E-2</v>
      </c>
      <c r="OA18" s="16">
        <f t="shared" si="83"/>
        <v>1.8586005830903789E-2</v>
      </c>
      <c r="OB18" s="16">
        <f t="shared" si="83"/>
        <v>2.4810126582278481E-2</v>
      </c>
      <c r="OC18" s="16">
        <f t="shared" si="83"/>
        <v>2.9526029526029528E-2</v>
      </c>
      <c r="OD18" s="16">
        <f t="shared" si="83"/>
        <v>4.0963855421686748E-2</v>
      </c>
      <c r="OE18" s="16">
        <f t="shared" si="83"/>
        <v>0</v>
      </c>
      <c r="OF18" s="16">
        <f t="shared" si="83"/>
        <v>0</v>
      </c>
      <c r="OG18" s="16">
        <f t="shared" si="83"/>
        <v>0</v>
      </c>
    </row>
    <row r="19" spans="1:397">
      <c r="A19" s="13" t="s">
        <v>38</v>
      </c>
      <c r="B19" s="16">
        <f t="shared" ref="B19:C19" si="84">B13/B14</f>
        <v>5.1616638460853299E-2</v>
      </c>
      <c r="C19" s="16">
        <f t="shared" si="84"/>
        <v>5.1622386032113665E-2</v>
      </c>
      <c r="D19" s="16">
        <f t="shared" ref="D19:E19" si="85">D13/D14</f>
        <v>5.1628709839077899E-2</v>
      </c>
      <c r="E19" s="16">
        <f t="shared" si="85"/>
        <v>5.1632734886621817E-2</v>
      </c>
      <c r="F19" s="16">
        <f t="shared" ref="F19:G19" si="86">F13/F14</f>
        <v>5.1641937352403869E-2</v>
      </c>
      <c r="G19" s="16">
        <f t="shared" si="86"/>
        <v>5.1647115181087978E-2</v>
      </c>
      <c r="H19" s="16">
        <f t="shared" ref="H19:I19" si="87">H13/H14</f>
        <v>5.1651143099068583E-2</v>
      </c>
      <c r="I19" s="16">
        <f t="shared" si="87"/>
        <v>5.1655747203280297E-2</v>
      </c>
      <c r="J19" s="16">
        <f t="shared" ref="J19:K19" si="88">J13/J14</f>
        <v>5.1662654898814303E-2</v>
      </c>
      <c r="K19" s="16">
        <f t="shared" si="88"/>
        <v>5.166380636102258E-2</v>
      </c>
      <c r="L19" s="16">
        <f t="shared" ref="L19:M19" si="89">L13/L14</f>
        <v>5.1671868033883191E-2</v>
      </c>
      <c r="M19" s="16">
        <f t="shared" si="89"/>
        <v>5.167993222303971E-2</v>
      </c>
      <c r="N19" s="16">
        <f t="shared" ref="N19:O19" si="90">N13/N14</f>
        <v>5.168799892967043E-2</v>
      </c>
      <c r="O19" s="16">
        <f t="shared" si="90"/>
        <v>5.1694338823162093E-2</v>
      </c>
      <c r="P19" s="16">
        <f t="shared" ref="P19:Q19" si="91">P13/P14</f>
        <v>5.1701256844617426E-2</v>
      </c>
      <c r="Q19" s="16">
        <f t="shared" si="91"/>
        <v>5.1712790995995496E-2</v>
      </c>
      <c r="R19" s="16">
        <f t="shared" ref="R19:S19" si="92">R13/R14</f>
        <v>5.1730101875718318E-2</v>
      </c>
      <c r="S19" s="16">
        <f t="shared" si="92"/>
        <v>5.1744536464495387E-2</v>
      </c>
      <c r="T19" s="16">
        <f t="shared" ref="T19:U19" si="93">T13/T14</f>
        <v>5.1761868607922826E-2</v>
      </c>
      <c r="U19" s="16">
        <f t="shared" si="93"/>
        <v>5.178615312437166E-2</v>
      </c>
      <c r="V19" s="16">
        <f t="shared" ref="V19" si="94">V13/V14</f>
        <v>5.1839427485183942E-2</v>
      </c>
      <c r="W19" s="16">
        <f t="shared" ref="W19:X19" si="95">W13/W14</f>
        <v>5.1869587594262571E-2</v>
      </c>
      <c r="X19" s="16">
        <f t="shared" si="95"/>
        <v>5.1899782817992519E-2</v>
      </c>
      <c r="Y19" s="16">
        <f t="shared" ref="Y19:Z19" si="96">Y13/Y14</f>
        <v>5.1931176628730175E-2</v>
      </c>
      <c r="Z19" s="16">
        <f t="shared" si="96"/>
        <v>5.1974842203213113E-2</v>
      </c>
      <c r="AA19" s="16">
        <f t="shared" ref="AA19:AB19" si="97">AA13/AA14</f>
        <v>5.2011445884531222E-2</v>
      </c>
      <c r="AB19" s="16">
        <f t="shared" si="97"/>
        <v>5.2083918598509964E-2</v>
      </c>
      <c r="AC19" s="16">
        <f t="shared" ref="AC19:AD19" si="98">AC13/AC14</f>
        <v>5.2130782467861118E-2</v>
      </c>
      <c r="AD19" s="16">
        <f t="shared" si="98"/>
        <v>5.219359488311337E-2</v>
      </c>
      <c r="AE19" s="16">
        <f t="shared" ref="AE19:AF19" si="99">AE13/AE14</f>
        <v>5.2254202320154229E-2</v>
      </c>
      <c r="AF19" s="16">
        <f t="shared" si="99"/>
        <v>5.2339171381144349E-2</v>
      </c>
      <c r="AG19" s="16">
        <f t="shared" ref="AG19:AH19" si="100">AG13/AG14</f>
        <v>5.2400117575236847E-2</v>
      </c>
      <c r="AH19" s="16">
        <f t="shared" si="100"/>
        <v>5.2470114109762725E-2</v>
      </c>
      <c r="AI19" s="16">
        <f t="shared" ref="AI19:AJ19" si="101">AI13/AI14</f>
        <v>5.2534938284198716E-2</v>
      </c>
      <c r="AJ19" s="16">
        <f t="shared" si="101"/>
        <v>5.2599922830749678E-2</v>
      </c>
      <c r="AK19" s="16">
        <f t="shared" ref="AK19:AL19" si="102">AK13/AK14</f>
        <v>5.2677637859708144E-2</v>
      </c>
      <c r="AL19" s="16">
        <f t="shared" si="102"/>
        <v>5.2763990710805522E-2</v>
      </c>
      <c r="AM19" s="16">
        <f t="shared" ref="AM19:AN19" si="103">AM13/AM14</f>
        <v>5.2835609878457576E-2</v>
      </c>
      <c r="AN19" s="16">
        <f t="shared" si="103"/>
        <v>5.2904978822025092E-2</v>
      </c>
      <c r="AO19" s="16">
        <f t="shared" ref="AO19:AP19" si="104">AO13/AO14</f>
        <v>5.2938219703893258E-2</v>
      </c>
      <c r="AP19" s="16">
        <f t="shared" si="104"/>
        <v>5.3000583303786902E-2</v>
      </c>
      <c r="AQ19" s="16">
        <f t="shared" ref="AQ19:AR19" si="105">AQ13/AQ14</f>
        <v>5.3042443111579143E-2</v>
      </c>
      <c r="AR19" s="16">
        <f t="shared" si="105"/>
        <v>5.3062486402308456E-2</v>
      </c>
      <c r="AS19" s="16">
        <f t="shared" ref="AS19:AT19" si="106">AS13/AS14</f>
        <v>5.3094708861339629E-2</v>
      </c>
      <c r="AT19" s="16">
        <f t="shared" si="106"/>
        <v>5.3133061973284414E-2</v>
      </c>
      <c r="AU19" s="16">
        <f t="shared" ref="AU19:AV19" si="107">AU13/AU14</f>
        <v>5.3152564146679973E-2</v>
      </c>
      <c r="AV19" s="16">
        <f t="shared" si="107"/>
        <v>5.3172690763052206E-2</v>
      </c>
      <c r="AW19" s="16">
        <f t="shared" ref="AW19:AX19" si="108">AW13/AW14</f>
        <v>5.3192832627386159E-2</v>
      </c>
      <c r="AX19" s="16">
        <f t="shared" si="108"/>
        <v>5.3207490843121721E-2</v>
      </c>
      <c r="AY19" s="16">
        <f t="shared" ref="AY19:AZ19" si="109">AY13/AY14</f>
        <v>5.3220934639547038E-2</v>
      </c>
      <c r="AZ19" s="16">
        <f t="shared" si="109"/>
        <v>5.3232550659376002E-2</v>
      </c>
      <c r="BA19" s="16">
        <f t="shared" ref="BA19:BB19" si="110">BA13/BA14</f>
        <v>5.3247842623553608E-2</v>
      </c>
      <c r="BB19" s="16">
        <f t="shared" si="110"/>
        <v>5.3262531177085848E-2</v>
      </c>
      <c r="BC19" s="16">
        <f t="shared" ref="BC19" si="111">BC13/BC14</f>
        <v>5.3279065489330389E-2</v>
      </c>
      <c r="BD19" s="16">
        <f t="shared" ref="BD19:BE19" si="112">BD13/BD14</f>
        <v>5.3291932608820654E-2</v>
      </c>
      <c r="BE19" s="16">
        <f t="shared" si="112"/>
        <v>5.330541911587084E-2</v>
      </c>
      <c r="BF19" s="16">
        <f t="shared" ref="BF19:BG19" si="113">BF13/BF14</f>
        <v>5.3317685501593548E-2</v>
      </c>
      <c r="BG19" s="16">
        <f t="shared" si="113"/>
        <v>5.3326275331131545E-2</v>
      </c>
      <c r="BH19" s="16">
        <f t="shared" ref="BH19:BI19" si="114">BH13/BH14</f>
        <v>5.3336709560093003E-2</v>
      </c>
      <c r="BI19" s="16">
        <f t="shared" si="114"/>
        <v>5.3345919624253169E-2</v>
      </c>
      <c r="BJ19" s="16">
        <f t="shared" ref="BJ19:BK19" si="115">BJ13/BJ14</f>
        <v>5.3355132869709387E-2</v>
      </c>
      <c r="BK19" s="16">
        <f t="shared" si="115"/>
        <v>5.3369266028630985E-2</v>
      </c>
      <c r="BL19" s="16">
        <f t="shared" ref="BL19:BM19" si="116">BL13/BL14</f>
        <v>5.3383406676957811E-2</v>
      </c>
      <c r="BM19" s="16">
        <f t="shared" si="116"/>
        <v>5.3393863277604307E-2</v>
      </c>
      <c r="BN19" s="16">
        <f t="shared" ref="BN19:BO19" si="117">BN13/BN14</f>
        <v>5.3401246874171727E-2</v>
      </c>
      <c r="BO19" s="16">
        <f t="shared" si="117"/>
        <v>5.3405554915293307E-2</v>
      </c>
      <c r="BP19" s="16">
        <f t="shared" ref="BP19:BQ19" si="118">BP13/BP14</f>
        <v>5.341294174600613E-2</v>
      </c>
      <c r="BQ19" s="16">
        <f t="shared" si="118"/>
        <v>5.3423409921490417E-2</v>
      </c>
      <c r="BR19" s="16">
        <f t="shared" ref="BR19:BS19" si="119">BR13/BR14</f>
        <v>5.343326607091381E-2</v>
      </c>
      <c r="BS19" s="16">
        <f t="shared" si="119"/>
        <v>5.3448057115834884E-2</v>
      </c>
      <c r="BT19" s="16">
        <f t="shared" ref="BT19:BU19" si="120">BT13/BT14</f>
        <v>5.3456072351421191E-2</v>
      </c>
      <c r="BU19" s="16">
        <f t="shared" si="120"/>
        <v>5.3465323687884349E-2</v>
      </c>
      <c r="BV19" s="16">
        <f t="shared" ref="BV19:BW19" si="121">BV13/BV14</f>
        <v>5.3472727062923345E-2</v>
      </c>
      <c r="BW19" s="16">
        <f t="shared" si="121"/>
        <v>5.3481984165454841E-2</v>
      </c>
      <c r="BX19" s="16">
        <f t="shared" ref="BX19" si="122">BX13/BX14</f>
        <v>5.3489392155504766E-2</v>
      </c>
      <c r="BY19" s="16">
        <f t="shared" ref="BY19:BZ19" si="123">BY13/BY14</f>
        <v>5.3498655029496994E-2</v>
      </c>
      <c r="BZ19" s="16">
        <f t="shared" si="123"/>
        <v>5.3509774713917851E-2</v>
      </c>
      <c r="CA19" s="16">
        <f t="shared" ref="CA19:CB19" si="124">CA13/CA14</f>
        <v>5.3520280883304072E-2</v>
      </c>
      <c r="CB19" s="16">
        <f t="shared" si="124"/>
        <v>5.3530791179086719E-2</v>
      </c>
      <c r="CC19" s="16">
        <f t="shared" ref="CC19:CD19" si="125">CC13/CC14</f>
        <v>5.3540686993795564E-2</v>
      </c>
      <c r="CD19" s="16">
        <f t="shared" si="125"/>
        <v>5.3546254997573435E-2</v>
      </c>
      <c r="CE19" s="16">
        <f t="shared" ref="CE19:CF19" si="126">CE13/CE14</f>
        <v>5.3553680804345312E-2</v>
      </c>
      <c r="CF19" s="16">
        <f t="shared" si="126"/>
        <v>5.3564823377103755E-2</v>
      </c>
      <c r="CG19" s="16">
        <f t="shared" ref="CG19:CH19" si="127">CG13/CG14</f>
        <v>5.3571635009999882E-2</v>
      </c>
      <c r="CH19" s="16">
        <f t="shared" si="127"/>
        <v>5.357535117636858E-2</v>
      </c>
      <c r="CI19" s="16">
        <f t="shared" ref="CI19" si="128">CI13/CI14</f>
        <v>5.3578448375534743E-2</v>
      </c>
      <c r="CJ19" s="16">
        <f t="shared" ref="CJ19:CK19" si="129">CJ13/CJ14</f>
        <v>5.3591460523424582E-2</v>
      </c>
      <c r="CK19" s="16">
        <f t="shared" si="129"/>
        <v>5.3594559585492231E-2</v>
      </c>
      <c r="CL19" s="16">
        <f t="shared" ref="CL19:CM19" si="130">CL13/CL14</f>
        <v>5.3608199717729808E-2</v>
      </c>
      <c r="CM19" s="16">
        <f t="shared" si="130"/>
        <v>5.3615022387800672E-2</v>
      </c>
      <c r="CN19" s="16">
        <f t="shared" ref="CN19:CO19" si="131">CN13/CN14</f>
        <v>5.3625569930798249E-2</v>
      </c>
      <c r="CO19" s="16">
        <f t="shared" si="131"/>
        <v>5.363550082177828E-2</v>
      </c>
      <c r="CP19" s="16">
        <f t="shared" ref="CP19:CQ19" si="132">CP13/CP14</f>
        <v>5.3646056424445192E-2</v>
      </c>
      <c r="CQ19" s="16">
        <f t="shared" si="132"/>
        <v>5.3653509939908993E-2</v>
      </c>
      <c r="CR19" s="16">
        <f t="shared" ref="CR19:CS19" si="133">CR13/CR14</f>
        <v>5.3658480100971503E-2</v>
      </c>
      <c r="CS19" s="16">
        <f t="shared" si="133"/>
        <v>5.3667801635281308E-2</v>
      </c>
      <c r="CT19" s="16">
        <f t="shared" ref="CT19:CU19" si="134">CT13/CT14</f>
        <v>5.3672774444624614E-2</v>
      </c>
      <c r="CU19" s="16">
        <f t="shared" si="134"/>
        <v>5.3680857225600925E-2</v>
      </c>
      <c r="CV19" s="16">
        <f t="shared" ref="CV19:CW19" si="135">CV13/CV14</f>
        <v>5.3692052788302226E-2</v>
      </c>
      <c r="CW19" s="16">
        <f t="shared" si="135"/>
        <v>5.3697030093048589E-2</v>
      </c>
      <c r="CX19" s="16">
        <f t="shared" ref="CX19:CY19" si="136">CX13/CX14</f>
        <v>5.3706365027119743E-2</v>
      </c>
      <c r="CY19" s="16">
        <f t="shared" si="136"/>
        <v>5.3716948543475487E-2</v>
      </c>
      <c r="CZ19" s="16">
        <f t="shared" ref="CZ19:DA19" si="137">CZ13/CZ14</f>
        <v>5.3730651052234915E-2</v>
      </c>
      <c r="DA19" s="16">
        <f t="shared" si="137"/>
        <v>5.3751217927898672E-2</v>
      </c>
      <c r="DB19" s="16">
        <f t="shared" ref="DB19:DC19" si="138">DB13/DB14</f>
        <v>5.3768680961663415E-2</v>
      </c>
      <c r="DC19" s="16">
        <f t="shared" si="138"/>
        <v>5.3789276967185523E-2</v>
      </c>
      <c r="DD19" s="16">
        <f t="shared" ref="DD19:DE19" si="139">DD13/DD14</f>
        <v>5.3811763339720139E-2</v>
      </c>
      <c r="DE19" s="16">
        <f t="shared" si="139"/>
        <v>5.3829265742795077E-2</v>
      </c>
      <c r="DF19" s="16">
        <f t="shared" ref="DF19:DG19" si="140">DF13/DF14</f>
        <v>5.383989775763913E-2</v>
      </c>
      <c r="DG19" s="16">
        <f t="shared" si="140"/>
        <v>5.387056648957813E-2</v>
      </c>
      <c r="DH19" s="16">
        <f t="shared" ref="DH19:DI19" si="141">DH13/DH14</f>
        <v>5.3885600660488156E-2</v>
      </c>
      <c r="DI19" s="16">
        <f t="shared" si="141"/>
        <v>5.3900643225198608E-2</v>
      </c>
      <c r="DJ19" s="16">
        <f t="shared" ref="DJ19:DK19" si="142">DJ13/DJ14</f>
        <v>5.3921340470095412E-2</v>
      </c>
      <c r="DK19" s="16">
        <f t="shared" si="142"/>
        <v>5.3937030786242214E-2</v>
      </c>
      <c r="DL19" s="16">
        <f t="shared" ref="DL19:DM19" si="143">DL13/DL14</f>
        <v>5.3966553314389529E-2</v>
      </c>
      <c r="DM19" s="16">
        <f t="shared" si="143"/>
        <v>5.3992962505534453E-2</v>
      </c>
      <c r="DN19" s="16">
        <f t="shared" ref="DN19:DO19" si="144">DN13/DN14</f>
        <v>5.4003029949889293E-2</v>
      </c>
      <c r="DO19" s="16">
        <f t="shared" si="144"/>
        <v>5.4015619536076469E-2</v>
      </c>
      <c r="DP19" s="16">
        <f t="shared" ref="DP19:IF19" si="145">DP13/DP14</f>
        <v>5.4025065578548526E-2</v>
      </c>
      <c r="DQ19" s="16">
        <f t="shared" si="145"/>
        <v>5.4042707033482219E-2</v>
      </c>
      <c r="DR19" s="16">
        <f t="shared" si="145"/>
        <v>5.4054054054054057E-2</v>
      </c>
      <c r="DS19" s="16">
        <f t="shared" si="145"/>
        <v>5.4062882809309924E-2</v>
      </c>
      <c r="DT19" s="16">
        <f t="shared" si="145"/>
        <v>5.4069821711938769E-2</v>
      </c>
      <c r="DU19" s="16">
        <f t="shared" si="145"/>
        <v>5.4081811285522551E-2</v>
      </c>
      <c r="DV19" s="16">
        <f t="shared" si="145"/>
        <v>5.4090017742086098E-2</v>
      </c>
      <c r="DW19" s="16">
        <f t="shared" si="145"/>
        <v>5.4098226689548091E-2</v>
      </c>
      <c r="DX19" s="16">
        <f t="shared" si="145"/>
        <v>5.4106438129042804E-2</v>
      </c>
      <c r="DY19" s="16">
        <f t="shared" si="145"/>
        <v>5.4121604260587229E-2</v>
      </c>
      <c r="DZ19" s="16">
        <f t="shared" si="145"/>
        <v>5.4128558246019788E-2</v>
      </c>
      <c r="EA19" s="16">
        <f t="shared" si="145"/>
        <v>5.4141206435256044E-2</v>
      </c>
      <c r="EB19" s="16">
        <f t="shared" si="145"/>
        <v>5.4149430928509663E-2</v>
      </c>
      <c r="EC19" s="16">
        <f t="shared" si="145"/>
        <v>5.4162721928071346E-2</v>
      </c>
      <c r="ED19" s="16">
        <f t="shared" si="145"/>
        <v>5.4176019453797235E-2</v>
      </c>
      <c r="EE19" s="16">
        <f t="shared" si="145"/>
        <v>5.4185521684732403E-2</v>
      </c>
      <c r="EF19" s="16">
        <f t="shared" si="145"/>
        <v>5.4198830409356726E-2</v>
      </c>
      <c r="EG19" s="16">
        <f t="shared" si="145"/>
        <v>5.4205804255518256E-2</v>
      </c>
      <c r="EH19" s="16">
        <f t="shared" si="145"/>
        <v>5.4210243092112961E-2</v>
      </c>
      <c r="EI19" s="16">
        <f t="shared" si="145"/>
        <v>5.4217854217854217E-2</v>
      </c>
      <c r="EJ19" s="16">
        <f t="shared" si="145"/>
        <v>5.4230544177881805E-2</v>
      </c>
      <c r="EK19" s="16">
        <f t="shared" si="145"/>
        <v>5.4240700423718896E-2</v>
      </c>
      <c r="EL19" s="16">
        <f t="shared" si="145"/>
        <v>5.4247050009365048E-2</v>
      </c>
      <c r="EM19" s="16">
        <f t="shared" si="145"/>
        <v>5.4253401081789873E-2</v>
      </c>
      <c r="EN19" s="16">
        <f t="shared" si="145"/>
        <v>5.4260388979309862E-2</v>
      </c>
      <c r="EO19" s="16">
        <f t="shared" si="145"/>
        <v>5.4272463224960182E-2</v>
      </c>
      <c r="EP19" s="16">
        <f t="shared" si="145"/>
        <v>5.4280091833387993E-2</v>
      </c>
      <c r="EQ19" s="16">
        <f t="shared" si="145"/>
        <v>5.4293447059788405E-2</v>
      </c>
      <c r="ER19" s="16">
        <f t="shared" si="145"/>
        <v>5.4302354195718154E-2</v>
      </c>
      <c r="ES19" s="16">
        <f t="shared" si="145"/>
        <v>5.4311900799324908E-2</v>
      </c>
      <c r="ET19" s="16">
        <f t="shared" si="145"/>
        <v>5.4316993693883771E-2</v>
      </c>
      <c r="EU19" s="16">
        <f t="shared" si="145"/>
        <v>5.4321450760195532E-2</v>
      </c>
      <c r="EV19" s="16">
        <f t="shared" si="145"/>
        <v>5.4327819266797188E-2</v>
      </c>
      <c r="EW19" s="16">
        <f t="shared" si="145"/>
        <v>5.4331641087570784E-2</v>
      </c>
      <c r="EX19" s="16">
        <f t="shared" si="145"/>
        <v>5.4339286342475875E-2</v>
      </c>
      <c r="EY19" s="16">
        <f t="shared" si="145"/>
        <v>5.4345659032004598E-2</v>
      </c>
      <c r="EZ19" s="16">
        <f t="shared" si="145"/>
        <v>5.4354583308896837E-2</v>
      </c>
      <c r="FA19" s="16">
        <f t="shared" si="145"/>
        <v>5.4374992666299006E-2</v>
      </c>
      <c r="FB19" s="16">
        <f t="shared" si="145"/>
        <v>5.4380735559884527E-2</v>
      </c>
      <c r="FC19" s="16">
        <f t="shared" si="145"/>
        <v>5.4388394638623508E-2</v>
      </c>
      <c r="FD19" s="16">
        <f t="shared" si="145"/>
        <v>5.4393501889804449E-2</v>
      </c>
      <c r="FE19" s="16">
        <f t="shared" si="145"/>
        <v>5.4399887302779865E-2</v>
      </c>
      <c r="FF19" s="16">
        <f t="shared" si="145"/>
        <v>5.4406274215136073E-2</v>
      </c>
      <c r="FG19" s="16">
        <f t="shared" si="145"/>
        <v>5.4410107082472292E-2</v>
      </c>
      <c r="FH19" s="16">
        <f t="shared" si="145"/>
        <v>5.4419691613918478E-2</v>
      </c>
      <c r="FI19" s="16">
        <f t="shared" si="145"/>
        <v>5.4424165550936036E-2</v>
      </c>
      <c r="FJ19" s="16">
        <f t="shared" si="145"/>
        <v>5.4425443953772433E-2</v>
      </c>
      <c r="FK19" s="16">
        <f t="shared" si="145"/>
        <v>5.4431836868936032E-2</v>
      </c>
      <c r="FL19" s="16">
        <f t="shared" si="145"/>
        <v>5.4439510349850805E-2</v>
      </c>
      <c r="FM19" s="16">
        <f t="shared" si="145"/>
        <v>5.4445906570166368E-2</v>
      </c>
      <c r="FN19" s="16">
        <f t="shared" si="145"/>
        <v>5.4452304293671122E-2</v>
      </c>
      <c r="FO19" s="16">
        <f t="shared" si="145"/>
        <v>5.4468305182364209E-2</v>
      </c>
      <c r="FP19" s="16">
        <f t="shared" si="145"/>
        <v>5.4480472148416371E-2</v>
      </c>
      <c r="FQ19" s="16">
        <f t="shared" si="145"/>
        <v>5.4475348552888346E-2</v>
      </c>
      <c r="FR19" s="16">
        <f t="shared" si="145"/>
        <v>5.4486877998306836E-2</v>
      </c>
      <c r="FS19" s="16">
        <f t="shared" si="145"/>
        <v>5.4497771401018455E-2</v>
      </c>
      <c r="FT19" s="16">
        <f t="shared" si="145"/>
        <v>5.450354026016796E-2</v>
      </c>
      <c r="FU19" s="16">
        <f t="shared" si="145"/>
        <v>5.4509310340771409E-2</v>
      </c>
      <c r="FV19" s="16">
        <f t="shared" si="145"/>
        <v>5.4515081643216792E-2</v>
      </c>
      <c r="FW19" s="16">
        <f t="shared" si="145"/>
        <v>5.452021271589251E-2</v>
      </c>
      <c r="FX19" s="16">
        <f t="shared" si="145"/>
        <v>5.4529836081006346E-2</v>
      </c>
      <c r="FY19" s="16">
        <f t="shared" si="145"/>
        <v>5.4538820954017443E-2</v>
      </c>
      <c r="FZ19" s="16">
        <f t="shared" si="145"/>
        <v>5.454909300655672E-2</v>
      </c>
      <c r="GA19" s="16">
        <f t="shared" si="145"/>
        <v>5.4556799585584952E-2</v>
      </c>
      <c r="GB19" s="16">
        <f t="shared" si="145"/>
        <v>5.4570933970818566E-2</v>
      </c>
      <c r="GC19" s="16">
        <f t="shared" si="145"/>
        <v>5.4585075681724486E-2</v>
      </c>
      <c r="GD19" s="16">
        <f t="shared" si="145"/>
        <v>5.45895768542079E-2</v>
      </c>
      <c r="GE19" s="16">
        <f t="shared" si="145"/>
        <v>5.4600511364305826E-2</v>
      </c>
      <c r="GF19" s="16">
        <f t="shared" si="145"/>
        <v>5.4614668410941793E-2</v>
      </c>
      <c r="GG19" s="16">
        <f t="shared" si="145"/>
        <v>5.4628832800877082E-2</v>
      </c>
      <c r="GH19" s="16">
        <f t="shared" si="145"/>
        <v>5.4641071597019149E-2</v>
      </c>
      <c r="GI19" s="16">
        <f t="shared" si="145"/>
        <v>5.46552496874484E-2</v>
      </c>
      <c r="GJ19" s="16">
        <f t="shared" si="145"/>
        <v>5.4674595308886687E-2</v>
      </c>
      <c r="GK19" s="16">
        <f t="shared" si="145"/>
        <v>5.4686854620767784E-2</v>
      </c>
      <c r="GL19" s="16">
        <f t="shared" si="145"/>
        <v>5.4702993672679195E-2</v>
      </c>
      <c r="GM19" s="16">
        <f t="shared" si="145"/>
        <v>5.4731421552416497E-2</v>
      </c>
      <c r="GN19" s="16">
        <f t="shared" si="145"/>
        <v>5.4763114666918779E-2</v>
      </c>
      <c r="GO19" s="16">
        <f t="shared" si="145"/>
        <v>5.4778003688117645E-2</v>
      </c>
      <c r="GP19" s="16">
        <f t="shared" si="145"/>
        <v>5.4798084313841422E-2</v>
      </c>
      <c r="GQ19" s="16">
        <f t="shared" si="145"/>
        <v>5.4822070793109974E-2</v>
      </c>
      <c r="GR19" s="16">
        <f t="shared" si="145"/>
        <v>5.4846078280526921E-2</v>
      </c>
      <c r="GS19" s="16">
        <f t="shared" si="145"/>
        <v>5.4863610532297782E-2</v>
      </c>
      <c r="GT19" s="16">
        <f t="shared" si="145"/>
        <v>5.4887004311365895E-2</v>
      </c>
      <c r="GU19" s="16">
        <f t="shared" si="145"/>
        <v>5.4914973040232268E-2</v>
      </c>
      <c r="GV19" s="16">
        <f t="shared" si="145"/>
        <v>5.4946227634371625E-2</v>
      </c>
      <c r="GW19" s="16">
        <f t="shared" si="145"/>
        <v>5.4975561144592608E-2</v>
      </c>
      <c r="GX19" s="16">
        <f t="shared" si="145"/>
        <v>5.5058516010218023E-2</v>
      </c>
      <c r="GY19" s="16">
        <f t="shared" si="145"/>
        <v>5.5127290030930289E-2</v>
      </c>
      <c r="GZ19" s="16">
        <f t="shared" si="145"/>
        <v>5.5193606403125338E-2</v>
      </c>
      <c r="HA19" s="16">
        <f t="shared" si="145"/>
        <v>5.5238344995291511E-2</v>
      </c>
      <c r="HB19" s="16">
        <f t="shared" si="145"/>
        <v>5.527853990218299E-2</v>
      </c>
      <c r="HC19" s="16">
        <f t="shared" si="145"/>
        <v>5.5308889525446388E-2</v>
      </c>
      <c r="HD19" s="16">
        <f t="shared" si="145"/>
        <v>5.5331343283582086E-2</v>
      </c>
      <c r="HE19" s="16">
        <f t="shared" si="145"/>
        <v>5.5345220891208545E-2</v>
      </c>
      <c r="HF19" s="16">
        <f t="shared" si="145"/>
        <v>5.5359766805643494E-2</v>
      </c>
      <c r="HG19" s="16">
        <f t="shared" si="145"/>
        <v>5.5369027278267001E-2</v>
      </c>
      <c r="HH19" s="16">
        <f t="shared" si="145"/>
        <v>5.5376305537630552E-2</v>
      </c>
      <c r="HI19" s="16">
        <f t="shared" si="145"/>
        <v>5.5390867798230936E-2</v>
      </c>
      <c r="HJ19" s="16">
        <f t="shared" si="145"/>
        <v>5.5401463344651139E-2</v>
      </c>
      <c r="HK19" s="16">
        <f t="shared" si="145"/>
        <v>5.5416038841453207E-2</v>
      </c>
      <c r="HL19" s="16">
        <f t="shared" si="145"/>
        <v>5.5422666602879971E-2</v>
      </c>
      <c r="HM19" s="16">
        <f t="shared" si="145"/>
        <v>5.5423329466218557E-2</v>
      </c>
      <c r="HN19" s="16">
        <f t="shared" si="145"/>
        <v>5.5427306979247651E-2</v>
      </c>
      <c r="HO19" s="16">
        <f t="shared" si="145"/>
        <v>5.5429295949857661E-2</v>
      </c>
      <c r="HP19" s="16">
        <f t="shared" si="145"/>
        <v>5.543460056941886E-2</v>
      </c>
      <c r="HQ19" s="16">
        <f t="shared" si="145"/>
        <v>5.543924294447701E-2</v>
      </c>
      <c r="HR19" s="16">
        <f t="shared" si="145"/>
        <v>5.5440569480169885E-2</v>
      </c>
      <c r="HS19" s="16">
        <f t="shared" si="145"/>
        <v>5.5443222742010745E-2</v>
      </c>
      <c r="HT19" s="16">
        <f t="shared" si="145"/>
        <v>5.544919350978797E-2</v>
      </c>
      <c r="HU19" s="16">
        <f t="shared" si="145"/>
        <v>5.5453838329444144E-2</v>
      </c>
      <c r="HV19" s="16">
        <f t="shared" si="145"/>
        <v>5.5459147647713536E-2</v>
      </c>
      <c r="HW19" s="16">
        <f t="shared" si="145"/>
        <v>5.5461802688114133E-2</v>
      </c>
      <c r="HX19" s="16">
        <f t="shared" si="145"/>
        <v>5.5467113531629662E-2</v>
      </c>
      <c r="HY19" s="16">
        <f t="shared" si="145"/>
        <v>5.5469105360178114E-2</v>
      </c>
      <c r="HZ19" s="16">
        <f t="shared" si="145"/>
        <v>5.5472425392341117E-2</v>
      </c>
      <c r="IA19" s="16">
        <f t="shared" si="145"/>
        <v>5.5474417602413388E-2</v>
      </c>
      <c r="IB19" s="16">
        <f t="shared" si="145"/>
        <v>5.5476409955585351E-2</v>
      </c>
      <c r="IC19" s="16">
        <f t="shared" si="145"/>
        <v>5.5489031516428776E-2</v>
      </c>
      <c r="ID19" s="16">
        <f t="shared" si="145"/>
        <v>5.5497005988023949E-2</v>
      </c>
      <c r="IE19" s="16">
        <f t="shared" si="145"/>
        <v>5.5508307080483453E-2</v>
      </c>
      <c r="IF19" s="16">
        <f t="shared" si="145"/>
        <v>5.5522273609546861E-2</v>
      </c>
      <c r="IG19" s="16">
        <f t="shared" ref="IG19:JL19" si="146">IG13/IG14</f>
        <v>5.553092307876667E-2</v>
      </c>
      <c r="IH19" s="16">
        <f t="shared" si="146"/>
        <v>5.5543569459427067E-2</v>
      </c>
      <c r="II19" s="16">
        <f t="shared" si="146"/>
        <v>5.5551559615430721E-2</v>
      </c>
      <c r="IJ19" s="16">
        <f t="shared" si="146"/>
        <v>5.5566214206916396E-2</v>
      </c>
      <c r="IK19" s="16">
        <f t="shared" si="146"/>
        <v>5.5578210079397443E-2</v>
      </c>
      <c r="IL19" s="16">
        <f t="shared" si="146"/>
        <v>5.5595546597562148E-2</v>
      </c>
      <c r="IM19" s="16">
        <f t="shared" si="146"/>
        <v>5.5613561356135613E-2</v>
      </c>
      <c r="IN19" s="16">
        <f t="shared" si="146"/>
        <v>5.5634927304815528E-2</v>
      </c>
      <c r="IO19" s="16">
        <f t="shared" si="146"/>
        <v>5.5653635981504836E-2</v>
      </c>
      <c r="IP19" s="16">
        <f t="shared" si="146"/>
        <v>5.5683060765912451E-2</v>
      </c>
      <c r="IQ19" s="16">
        <f t="shared" si="146"/>
        <v>5.5709837583101912E-2</v>
      </c>
      <c r="IR19" s="16">
        <f t="shared" si="146"/>
        <v>5.5742674301111482E-2</v>
      </c>
      <c r="IS19" s="16">
        <f t="shared" si="146"/>
        <v>5.5780920854649411E-2</v>
      </c>
      <c r="IT19" s="16">
        <f t="shared" si="146"/>
        <v>5.5788307810844651E-2</v>
      </c>
      <c r="IU19" s="16">
        <f t="shared" si="146"/>
        <v>5.5793009619899588E-2</v>
      </c>
      <c r="IV19" s="16">
        <f t="shared" si="146"/>
        <v>5.5800399778436045E-2</v>
      </c>
      <c r="IW19" s="16">
        <f t="shared" si="146"/>
        <v>5.5802415616006164E-2</v>
      </c>
      <c r="IX19" s="16">
        <f t="shared" si="146"/>
        <v>5.5804431599229286E-2</v>
      </c>
      <c r="IY19" s="16">
        <f t="shared" si="146"/>
        <v>5.5807119803458739E-2</v>
      </c>
      <c r="IZ19" s="16">
        <f t="shared" si="146"/>
        <v>5.581115259544743E-2</v>
      </c>
      <c r="JA19" s="16">
        <f t="shared" si="146"/>
        <v>5.5813169210016021E-2</v>
      </c>
      <c r="JB19" s="16">
        <f t="shared" si="146"/>
        <v>5.5816530558165309E-2</v>
      </c>
      <c r="JC19" s="16">
        <f t="shared" si="146"/>
        <v>5.5817202876380673E-2</v>
      </c>
      <c r="JD19" s="16">
        <f t="shared" si="146"/>
        <v>5.5816530558165309E-2</v>
      </c>
      <c r="JE19" s="16">
        <f t="shared" si="146"/>
        <v>5.5819892311213364E-2</v>
      </c>
      <c r="JF19" s="16">
        <f t="shared" si="146"/>
        <v>5.5830652642739245E-2</v>
      </c>
      <c r="JG19" s="16">
        <f t="shared" si="146"/>
        <v>5.5831997975879226E-2</v>
      </c>
      <c r="JH19" s="16">
        <f t="shared" si="146"/>
        <v>5.5834688836676909E-2</v>
      </c>
      <c r="JI19" s="16">
        <f t="shared" si="146"/>
        <v>5.5834688836676909E-2</v>
      </c>
      <c r="JJ19" s="16">
        <f t="shared" si="146"/>
        <v>5.5836034364343978E-2</v>
      </c>
      <c r="JK19" s="16">
        <f t="shared" si="146"/>
        <v>5.5836707152496626E-2</v>
      </c>
      <c r="JL19" s="16">
        <f t="shared" si="146"/>
        <v>5.5841417123576549E-2</v>
      </c>
      <c r="JM19" s="16">
        <f t="shared" ref="JM19:KR19" si="147">JM13/JM14</f>
        <v>5.5848820112324345E-2</v>
      </c>
      <c r="JN19" s="16">
        <f t="shared" si="147"/>
        <v>5.5850839449928288E-2</v>
      </c>
      <c r="JO19" s="16">
        <f t="shared" si="147"/>
        <v>5.5850839449928288E-2</v>
      </c>
      <c r="JP19" s="16">
        <f t="shared" si="147"/>
        <v>5.5853532127231306E-2</v>
      </c>
      <c r="JQ19" s="16">
        <f t="shared" si="147"/>
        <v>5.5854878563249562E-2</v>
      </c>
      <c r="JR19" s="16">
        <f t="shared" si="147"/>
        <v>5.5858244937319189E-2</v>
      </c>
      <c r="JS19" s="16">
        <f t="shared" si="147"/>
        <v>5.5862285121874772E-2</v>
      </c>
      <c r="JT19" s="16">
        <f t="shared" si="147"/>
        <v>5.5866999409261334E-2</v>
      </c>
      <c r="JU19" s="16">
        <f t="shared" si="147"/>
        <v>5.5858984097129284E-2</v>
      </c>
      <c r="JV19" s="16">
        <f t="shared" si="147"/>
        <v>5.5864372445226872E-2</v>
      </c>
      <c r="JW19" s="16">
        <f t="shared" si="147"/>
        <v>5.5867067009128288E-2</v>
      </c>
      <c r="JX19" s="16">
        <f t="shared" si="147"/>
        <v>5.5869088102645729E-2</v>
      </c>
      <c r="JY19" s="16">
        <f t="shared" si="147"/>
        <v>5.5873804556253695E-2</v>
      </c>
      <c r="JZ19" s="16">
        <f t="shared" si="147"/>
        <v>5.587447840034733E-2</v>
      </c>
      <c r="KA19" s="16">
        <f t="shared" si="147"/>
        <v>5.5885936237198584E-2</v>
      </c>
      <c r="KB19" s="16">
        <f t="shared" si="147"/>
        <v>5.5895375631884375E-2</v>
      </c>
      <c r="KC19" s="16">
        <f t="shared" si="147"/>
        <v>5.5896049996380572E-2</v>
      </c>
      <c r="KD19" s="16">
        <f t="shared" si="147"/>
        <v>5.5896724377149064E-2</v>
      </c>
      <c r="KE19" s="16">
        <f t="shared" si="147"/>
        <v>5.5898073187505282E-2</v>
      </c>
      <c r="KF19" s="16">
        <f t="shared" si="147"/>
        <v>5.5899422062957733E-2</v>
      </c>
      <c r="KG19" s="16">
        <f t="shared" si="147"/>
        <v>5.5900096525096525E-2</v>
      </c>
      <c r="KH19" s="16">
        <f t="shared" si="147"/>
        <v>5.5902120009170213E-2</v>
      </c>
      <c r="KI19" s="16">
        <f t="shared" si="147"/>
        <v>5.590346907993967E-2</v>
      </c>
      <c r="KJ19" s="16">
        <f t="shared" si="147"/>
        <v>5.5904143639742263E-2</v>
      </c>
      <c r="KK19" s="16">
        <f t="shared" si="147"/>
        <v>5.5912239627332189E-2</v>
      </c>
      <c r="KL19" s="16">
        <f t="shared" si="147"/>
        <v>5.5914938810977817E-2</v>
      </c>
      <c r="KM19" s="16">
        <f t="shared" si="147"/>
        <v>5.5929788980636441E-2</v>
      </c>
      <c r="KN19" s="16">
        <f t="shared" si="147"/>
        <v>5.5933840395991793E-2</v>
      </c>
      <c r="KO19" s="16">
        <f t="shared" si="147"/>
        <v>5.5923792966061793E-2</v>
      </c>
      <c r="KP19" s="16">
        <f t="shared" si="147"/>
        <v>5.5931221020092736E-2</v>
      </c>
      <c r="KQ19" s="16">
        <f t="shared" si="147"/>
        <v>5.5939326602579588E-2</v>
      </c>
      <c r="KR19" s="16">
        <f t="shared" si="147"/>
        <v>5.5943380274885865E-2</v>
      </c>
      <c r="KS19" s="16">
        <f t="shared" ref="KS19:LX19" si="148">KS13/KS14</f>
        <v>5.5950137701116107E-2</v>
      </c>
      <c r="KT19" s="16">
        <f t="shared" si="148"/>
        <v>5.5970419778148338E-2</v>
      </c>
      <c r="KU19" s="16">
        <f t="shared" si="148"/>
        <v>5.5977860224539863E-2</v>
      </c>
      <c r="KV19" s="16">
        <f t="shared" si="148"/>
        <v>5.5985979331600898E-2</v>
      </c>
      <c r="KW19" s="16">
        <f t="shared" si="148"/>
        <v>5.5996808472055994E-2</v>
      </c>
      <c r="KX19" s="16">
        <f t="shared" si="148"/>
        <v>5.6015092149180087E-2</v>
      </c>
      <c r="KY19" s="16">
        <f t="shared" si="148"/>
        <v>4.0587313731919698E-2</v>
      </c>
      <c r="KZ19" s="16">
        <f t="shared" si="148"/>
        <v>4.0610000607570328E-2</v>
      </c>
      <c r="LA19" s="16">
        <f t="shared" si="148"/>
        <v>4.0620554657199479E-2</v>
      </c>
      <c r="LB19" s="16">
        <f t="shared" si="148"/>
        <v>4.0664556962025318E-2</v>
      </c>
      <c r="LC19" s="16">
        <f t="shared" si="148"/>
        <v>4.0693706430068734E-2</v>
      </c>
      <c r="LD19" s="16">
        <f t="shared" si="148"/>
        <v>4.0742864812758531E-2</v>
      </c>
      <c r="LE19" s="16">
        <f t="shared" si="148"/>
        <v>4.0729119611266434E-2</v>
      </c>
      <c r="LF19" s="16">
        <f t="shared" si="148"/>
        <v>4.0737800036645698E-2</v>
      </c>
      <c r="LG19" s="16">
        <f t="shared" si="148"/>
        <v>4.0744725067846752E-2</v>
      </c>
      <c r="LH19" s="16">
        <f t="shared" si="148"/>
        <v>4.0751162221678496E-2</v>
      </c>
      <c r="LI19" s="16">
        <f t="shared" si="148"/>
        <v>4.0767121946443434E-2</v>
      </c>
      <c r="LJ19" s="16">
        <f t="shared" si="148"/>
        <v>4.0762100674674603E-2</v>
      </c>
      <c r="LK19" s="16">
        <f t="shared" si="148"/>
        <v>4.0740332439152857E-2</v>
      </c>
      <c r="LL19" s="16">
        <f t="shared" si="148"/>
        <v>4.0700808625336926E-2</v>
      </c>
      <c r="LM19" s="16">
        <f t="shared" si="148"/>
        <v>4.0667246810231775E-2</v>
      </c>
      <c r="LN19" s="16">
        <f t="shared" si="148"/>
        <v>4.0611128822620593E-2</v>
      </c>
      <c r="LO19" s="16">
        <f t="shared" si="148"/>
        <v>4.0543192914448342E-2</v>
      </c>
      <c r="LP19" s="16">
        <f t="shared" si="148"/>
        <v>4.0554805449858844E-2</v>
      </c>
      <c r="LQ19" s="16">
        <f t="shared" si="148"/>
        <v>4.0521126241726935E-2</v>
      </c>
      <c r="LR19" s="16">
        <f t="shared" si="148"/>
        <v>4.0482099417647494E-2</v>
      </c>
      <c r="LS19" s="16">
        <f t="shared" si="148"/>
        <v>4.0472092451438409E-2</v>
      </c>
      <c r="LT19" s="16">
        <f t="shared" si="148"/>
        <v>4.0437965184228333E-2</v>
      </c>
      <c r="LU19" s="16">
        <f t="shared" si="148"/>
        <v>4.0397448841389842E-2</v>
      </c>
      <c r="LV19" s="16">
        <f t="shared" si="148"/>
        <v>4.0371561271882815E-2</v>
      </c>
      <c r="LW19" s="16">
        <f t="shared" si="148"/>
        <v>4.032407236136288E-2</v>
      </c>
      <c r="LX19" s="16">
        <f t="shared" si="148"/>
        <v>4.023243763416981E-2</v>
      </c>
      <c r="LY19" s="16">
        <f t="shared" ref="LY19:ND19" si="149">LY13/LY14</f>
        <v>4.0181216669958525E-2</v>
      </c>
      <c r="LZ19" s="16">
        <f t="shared" si="149"/>
        <v>4.0115108624501343E-2</v>
      </c>
      <c r="MA19" s="16">
        <f t="shared" si="149"/>
        <v>4.0097370502174774E-2</v>
      </c>
      <c r="MB19" s="16">
        <f t="shared" si="149"/>
        <v>4.0015328701757856E-2</v>
      </c>
      <c r="MC19" s="16">
        <f t="shared" si="149"/>
        <v>3.9885758089044397E-2</v>
      </c>
      <c r="MD19" s="16">
        <f t="shared" si="149"/>
        <v>3.9735345040811276E-2</v>
      </c>
      <c r="ME19" s="16">
        <f t="shared" si="149"/>
        <v>3.9570036118945127E-2</v>
      </c>
      <c r="MF19" s="16">
        <f t="shared" si="149"/>
        <v>3.945610214787687E-2</v>
      </c>
      <c r="MG19" s="16">
        <f t="shared" si="149"/>
        <v>3.9300607575513839E-2</v>
      </c>
      <c r="MH19" s="16">
        <f t="shared" si="149"/>
        <v>3.9223695122102165E-2</v>
      </c>
      <c r="MI19" s="16">
        <f t="shared" si="149"/>
        <v>3.9094803040431801E-2</v>
      </c>
      <c r="MJ19" s="16">
        <f t="shared" si="149"/>
        <v>3.8833989647571635E-2</v>
      </c>
      <c r="MK19" s="16">
        <f t="shared" si="149"/>
        <v>3.8632563324456554E-2</v>
      </c>
      <c r="ML19" s="16">
        <f t="shared" si="149"/>
        <v>3.8379081727492409E-2</v>
      </c>
      <c r="MM19" s="16">
        <f t="shared" si="149"/>
        <v>3.8065244076328872E-2</v>
      </c>
      <c r="MN19" s="16">
        <f t="shared" si="149"/>
        <v>3.7764425464296356E-2</v>
      </c>
      <c r="MO19" s="16">
        <f t="shared" si="149"/>
        <v>3.7458493452225496E-2</v>
      </c>
      <c r="MP19" s="16">
        <f t="shared" si="149"/>
        <v>3.7137162077986792E-2</v>
      </c>
      <c r="MQ19" s="16">
        <f t="shared" si="149"/>
        <v>3.6718194408054794E-2</v>
      </c>
      <c r="MR19" s="16">
        <f t="shared" si="149"/>
        <v>3.6387719144788631E-2</v>
      </c>
      <c r="MS19" s="16">
        <f t="shared" si="149"/>
        <v>3.5954099017839247E-2</v>
      </c>
      <c r="MT19" s="16">
        <f t="shared" si="149"/>
        <v>3.5772419275466559E-2</v>
      </c>
      <c r="MU19" s="16">
        <f t="shared" si="149"/>
        <v>3.5369938089921851E-2</v>
      </c>
      <c r="MV19" s="16">
        <f t="shared" si="149"/>
        <v>3.4956749939488135E-2</v>
      </c>
      <c r="MW19" s="16">
        <f t="shared" si="149"/>
        <v>3.477915556466489E-2</v>
      </c>
      <c r="MX19" s="16">
        <f t="shared" si="149"/>
        <v>3.4291380154008601E-2</v>
      </c>
      <c r="MY19" s="16">
        <f t="shared" si="149"/>
        <v>3.359688917692806E-2</v>
      </c>
      <c r="MZ19" s="16">
        <f t="shared" si="149"/>
        <v>3.1740667567848602E-2</v>
      </c>
      <c r="NA19" s="16">
        <f t="shared" si="149"/>
        <v>3.0738779362416108E-2</v>
      </c>
      <c r="NB19" s="16">
        <f t="shared" si="149"/>
        <v>2.9463309219802086E-2</v>
      </c>
      <c r="NC19" s="16">
        <f t="shared" si="149"/>
        <v>2.8239246953414576E-2</v>
      </c>
      <c r="ND19" s="16">
        <f t="shared" si="149"/>
        <v>2.701354721304846E-2</v>
      </c>
      <c r="NE19" s="16">
        <f t="shared" ref="NE19:OG19" si="150">NE13/NE14</f>
        <v>2.5788282069689104E-2</v>
      </c>
      <c r="NF19" s="16">
        <f t="shared" si="150"/>
        <v>2.5089300901513862E-2</v>
      </c>
      <c r="NG19" s="16">
        <f t="shared" si="150"/>
        <v>2.4306569343065694E-2</v>
      </c>
      <c r="NH19" s="16">
        <f t="shared" si="150"/>
        <v>2.2905011129158395E-2</v>
      </c>
      <c r="NI19" s="16">
        <f t="shared" si="150"/>
        <v>2.1612817340370551E-2</v>
      </c>
      <c r="NJ19" s="16">
        <f t="shared" si="150"/>
        <v>2.2858002809176645E-2</v>
      </c>
      <c r="NK19" s="16">
        <f t="shared" si="150"/>
        <v>2.4925536918012227E-2</v>
      </c>
      <c r="NL19" s="16">
        <f t="shared" si="150"/>
        <v>2.3828509780008444E-2</v>
      </c>
      <c r="NM19" s="16">
        <f t="shared" si="150"/>
        <v>2.2603370590724651E-2</v>
      </c>
      <c r="NN19" s="16">
        <f t="shared" si="150"/>
        <v>2.180224743265767E-2</v>
      </c>
      <c r="NO19" s="16">
        <f t="shared" si="150"/>
        <v>2.0899670005210445E-2</v>
      </c>
      <c r="NP19" s="16">
        <f t="shared" si="150"/>
        <v>2.0410128044671225E-2</v>
      </c>
      <c r="NQ19" s="16">
        <f t="shared" si="150"/>
        <v>2.0094225140980797E-2</v>
      </c>
      <c r="NR19" s="16">
        <f t="shared" si="150"/>
        <v>2.0144713040618319E-2</v>
      </c>
      <c r="NS19" s="16">
        <f t="shared" si="150"/>
        <v>2.0794598297289364E-2</v>
      </c>
      <c r="NT19" s="16">
        <f t="shared" si="150"/>
        <v>2.0982272595175822E-2</v>
      </c>
      <c r="NU19" s="16">
        <f t="shared" si="150"/>
        <v>2.114047287899861E-2</v>
      </c>
      <c r="NV19" s="16">
        <f t="shared" si="150"/>
        <v>2.1965906199643795E-2</v>
      </c>
      <c r="NW19" s="16">
        <f t="shared" si="150"/>
        <v>2.1976888155179529E-2</v>
      </c>
      <c r="NX19" s="16">
        <f t="shared" si="150"/>
        <v>2.2046427181947867E-2</v>
      </c>
      <c r="NY19" s="16">
        <f t="shared" si="150"/>
        <v>2.2095748242383664E-2</v>
      </c>
      <c r="NZ19" s="16">
        <f t="shared" si="150"/>
        <v>2.3477297895902548E-2</v>
      </c>
      <c r="OA19" s="16">
        <f t="shared" si="150"/>
        <v>2.9154518950437316E-2</v>
      </c>
      <c r="OB19" s="16">
        <f t="shared" si="150"/>
        <v>2.8354430379746835E-2</v>
      </c>
      <c r="OC19" s="16">
        <f t="shared" si="150"/>
        <v>3.1857031857031856E-2</v>
      </c>
      <c r="OD19" s="16">
        <f t="shared" si="150"/>
        <v>3.0120481927710843E-2</v>
      </c>
      <c r="OE19" s="16">
        <f t="shared" si="150"/>
        <v>2.9772329246935202E-2</v>
      </c>
      <c r="OF19" s="16">
        <f t="shared" si="150"/>
        <v>0</v>
      </c>
      <c r="OG19" s="16">
        <f t="shared" si="150"/>
        <v>0</v>
      </c>
    </row>
    <row r="20" spans="1:397">
      <c r="A20" s="13" t="s">
        <v>39</v>
      </c>
      <c r="B20" s="16">
        <f t="shared" ref="B20:C20" si="151">(B10+B13)/B14</f>
        <v>5.1705709450431993E-2</v>
      </c>
      <c r="C20" s="16">
        <f t="shared" si="151"/>
        <v>5.1733737166781729E-2</v>
      </c>
      <c r="D20" s="16">
        <f t="shared" ref="D20:E20" si="152">(D10+D13)/D14</f>
        <v>5.1740074614399466E-2</v>
      </c>
      <c r="E20" s="16">
        <f t="shared" si="152"/>
        <v>5.1744108344099433E-2</v>
      </c>
      <c r="F20" s="16">
        <f t="shared" ref="F20:G20" si="153">(F10+F13)/F14</f>
        <v>5.1764469990642964E-2</v>
      </c>
      <c r="G20" s="16">
        <f t="shared" si="153"/>
        <v>5.1780800552566203E-2</v>
      </c>
      <c r="H20" s="16">
        <f t="shared" ref="H20:I20" si="154">(H10+H13)/H14</f>
        <v>5.1784838896564017E-2</v>
      </c>
      <c r="I20" s="16">
        <f t="shared" si="154"/>
        <v>5.1789454918215447E-2</v>
      </c>
      <c r="J20" s="16">
        <f t="shared" ref="J20:K20" si="155">(J10+J13)/J14</f>
        <v>5.1807524293483107E-2</v>
      </c>
      <c r="K20" s="16">
        <f t="shared" si="155"/>
        <v>5.1853255176410276E-2</v>
      </c>
      <c r="L20" s="16">
        <f t="shared" ref="L20:M20" si="156">(L10+L13)/L14</f>
        <v>5.1872492197949177E-2</v>
      </c>
      <c r="M20" s="16">
        <f t="shared" si="156"/>
        <v>5.1902882750317701E-2</v>
      </c>
      <c r="N20" s="16">
        <f t="shared" ref="N20:O20" si="157">(N10+N13)/N14</f>
        <v>5.1966730589127236E-2</v>
      </c>
      <c r="O20" s="16">
        <f t="shared" si="157"/>
        <v>5.1995405938827621E-2</v>
      </c>
      <c r="P20" s="16">
        <f t="shared" ref="P20:Q20" si="158">(P10+P13)/P14</f>
        <v>5.2102733386120065E-2</v>
      </c>
      <c r="Q20" s="16">
        <f t="shared" si="158"/>
        <v>5.225936708719562E-2</v>
      </c>
      <c r="R20" s="16">
        <f t="shared" ref="R20:S20" si="159">(R10+R13)/R14</f>
        <v>5.2466552851515864E-2</v>
      </c>
      <c r="S20" s="16">
        <f t="shared" si="159"/>
        <v>5.2548161707257179E-2</v>
      </c>
      <c r="T20" s="16">
        <f t="shared" ref="T20:U20" si="160">(T10+T13)/T14</f>
        <v>5.2521102228573979E-2</v>
      </c>
      <c r="U20" s="16">
        <f t="shared" si="160"/>
        <v>5.2635106454279393E-2</v>
      </c>
      <c r="V20" s="16">
        <f t="shared" ref="V20" si="161">(V10+V13)/V14</f>
        <v>5.2711618025271162E-2</v>
      </c>
      <c r="W20" s="16">
        <f t="shared" ref="W20:X20" si="162">(W10+W13)/W14</f>
        <v>5.297724272192262E-2</v>
      </c>
      <c r="X20" s="16">
        <f t="shared" si="162"/>
        <v>5.3075252446096323E-2</v>
      </c>
      <c r="Y20" s="16">
        <f t="shared" ref="Y20:Z20" si="163">(Y10+Y13)/Y14</f>
        <v>5.3174567613585445E-2</v>
      </c>
      <c r="Z20" s="16">
        <f t="shared" si="163"/>
        <v>5.3208067535903673E-2</v>
      </c>
      <c r="AA20" s="16">
        <f t="shared" ref="AA20:AB20" si="164">(AA10+AA13)/AA14</f>
        <v>5.3234584525612971E-2</v>
      </c>
      <c r="AB20" s="16">
        <f t="shared" si="164"/>
        <v>5.3140205189288803E-2</v>
      </c>
      <c r="AC20" s="16">
        <f t="shared" ref="AC20:AD20" si="165">(AC10+AC13)/AC14</f>
        <v>5.3086794659828365E-2</v>
      </c>
      <c r="AD20" s="16">
        <f t="shared" si="165"/>
        <v>5.309445520472051E-2</v>
      </c>
      <c r="AE20" s="16">
        <f t="shared" ref="AE20:AF20" si="166">(AE10+AE13)/AE14</f>
        <v>5.3020822764117653E-2</v>
      </c>
      <c r="AF20" s="16">
        <f t="shared" si="166"/>
        <v>5.3039285431981664E-2</v>
      </c>
      <c r="AG20" s="16">
        <f t="shared" ref="AG20:AH20" si="167">(AG10+AG13)/AG14</f>
        <v>5.3089741560585164E-2</v>
      </c>
      <c r="AH20" s="16">
        <f t="shared" si="167"/>
        <v>5.2956891867415326E-2</v>
      </c>
      <c r="AI20" s="16">
        <f t="shared" ref="AI20:AJ20" si="168">(AI10+AI13)/AI14</f>
        <v>5.3010983032405048E-2</v>
      </c>
      <c r="AJ20" s="16">
        <f t="shared" si="168"/>
        <v>5.3031162759027667E-2</v>
      </c>
      <c r="AK20" s="16">
        <f t="shared" ref="AK20:AL20" si="169">(AK10+AK13)/AK14</f>
        <v>5.2973132699913626E-2</v>
      </c>
      <c r="AL20" s="16">
        <f t="shared" si="169"/>
        <v>5.3037202313191568E-2</v>
      </c>
      <c r="AM20" s="16">
        <f t="shared" ref="AM20:AN20" si="170">(AM10+AM13)/AM14</f>
        <v>5.3075046177000436E-2</v>
      </c>
      <c r="AN20" s="16">
        <f t="shared" si="170"/>
        <v>5.3110479387151646E-2</v>
      </c>
      <c r="AO20" s="16">
        <f t="shared" ref="AO20:AP20" si="171">(AO10+AO13)/AO14</f>
        <v>5.3166697130323522E-2</v>
      </c>
      <c r="AP20" s="16">
        <f t="shared" si="171"/>
        <v>5.3183580570265232E-2</v>
      </c>
      <c r="AQ20" s="16">
        <f t="shared" ref="AQ20:AR20" si="172">(AQ10+AQ13)/AQ14</f>
        <v>5.3225584909115886E-2</v>
      </c>
      <c r="AR20" s="16">
        <f t="shared" si="172"/>
        <v>5.3211345341287741E-2</v>
      </c>
      <c r="AS20" s="16">
        <f t="shared" ref="AS20:AT20" si="173">(AS10+AS13)/AS14</f>
        <v>5.3243658195650682E-2</v>
      </c>
      <c r="AT20" s="16">
        <f t="shared" si="173"/>
        <v>5.3293584819125148E-2</v>
      </c>
      <c r="AU20" s="16">
        <f t="shared" ref="AU20:AV20" si="174">(AU10+AU13)/AU14</f>
        <v>5.3301675785416884E-2</v>
      </c>
      <c r="AV20" s="16">
        <f t="shared" si="174"/>
        <v>5.3287435456110158E-2</v>
      </c>
      <c r="AW20" s="16">
        <f t="shared" ref="AW20:AX20" si="175">(AW10+AW13)/AW14</f>
        <v>5.3296141969994375E-2</v>
      </c>
      <c r="AX20" s="16">
        <f t="shared" si="175"/>
        <v>5.3322310633460782E-2</v>
      </c>
      <c r="AY20" s="16">
        <f t="shared" ref="AY20:AZ20" si="176">(AY10+AY13)/AY14</f>
        <v>5.3324298560944519E-2</v>
      </c>
      <c r="AZ20" s="16">
        <f t="shared" si="176"/>
        <v>5.3301474980471442E-2</v>
      </c>
      <c r="BA20" s="16">
        <f t="shared" ref="BA20:BB20" si="177">(BA10+BA13)/BA14</f>
        <v>5.331678674434371E-2</v>
      </c>
      <c r="BB20" s="16">
        <f t="shared" si="177"/>
        <v>5.3297012746686898E-2</v>
      </c>
      <c r="BC20" s="16">
        <f t="shared" ref="BC20" si="178">(BC10+BC13)/BC14</f>
        <v>5.3336552612214864E-2</v>
      </c>
      <c r="BD20" s="16">
        <f t="shared" ref="BD20:BE20" si="179">(BD10+BD13)/BD14</f>
        <v>5.3337933413834741E-2</v>
      </c>
      <c r="BE20" s="16">
        <f t="shared" si="179"/>
        <v>5.3351431562237588E-2</v>
      </c>
      <c r="BF20" s="16">
        <f t="shared" ref="BF20:BG20" si="180">(BF10+BF13)/BF14</f>
        <v>5.3386720053386717E-2</v>
      </c>
      <c r="BG20" s="16">
        <f t="shared" si="180"/>
        <v>5.3395321004844704E-2</v>
      </c>
      <c r="BH20" s="16">
        <f t="shared" ref="BH20:BI20" si="181">(BH10+BH13)/BH14</f>
        <v>5.3394258879860039E-2</v>
      </c>
      <c r="BI20" s="16">
        <f t="shared" si="181"/>
        <v>5.3391967030057441E-2</v>
      </c>
      <c r="BJ20" s="16">
        <f t="shared" ref="BJ20:BK20" si="182">(BJ10+BJ13)/BJ14</f>
        <v>5.3401188228250358E-2</v>
      </c>
      <c r="BK20" s="16">
        <f t="shared" si="182"/>
        <v>5.3426850476223378E-2</v>
      </c>
      <c r="BL20" s="16">
        <f t="shared" ref="BL20:BM20" si="183">(BL10+BL13)/BL14</f>
        <v>5.3464046264083125E-2</v>
      </c>
      <c r="BM20" s="16">
        <f t="shared" si="183"/>
        <v>5.3486040857712386E-2</v>
      </c>
      <c r="BN20" s="16">
        <f t="shared" ref="BN20:BO20" si="184">(BN10+BN13)/BN14</f>
        <v>5.3481913410235428E-2</v>
      </c>
      <c r="BO20" s="16">
        <f t="shared" si="184"/>
        <v>5.3497752679497523E-2</v>
      </c>
      <c r="BP20" s="16">
        <f t="shared" ref="BP20:BQ20" si="185">(BP10+BP13)/BP14</f>
        <v>5.3493625948039372E-2</v>
      </c>
      <c r="BQ20" s="16">
        <f t="shared" si="185"/>
        <v>5.3504109936477556E-2</v>
      </c>
      <c r="BR20" s="16">
        <f t="shared" ref="BR20:BS20" si="186">(BR10+BR13)/BR14</f>
        <v>5.3502450273854134E-2</v>
      </c>
      <c r="BS20" s="16">
        <f t="shared" si="186"/>
        <v>5.3505726577548124E-2</v>
      </c>
      <c r="BT20" s="16">
        <f t="shared" ref="BT20:BU20" si="187">(BT10+BT13)/BT14</f>
        <v>5.3513750461424883E-2</v>
      </c>
      <c r="BU20" s="16">
        <f t="shared" si="187"/>
        <v>5.352301177990839E-2</v>
      </c>
      <c r="BV20" s="16">
        <f t="shared" ref="BV20:BW20" si="188">(BV10+BV13)/BV14</f>
        <v>5.3530423143051661E-2</v>
      </c>
      <c r="BW20" s="16">
        <f t="shared" si="188"/>
        <v>5.3551231447499022E-2</v>
      </c>
      <c r="BX20" s="16">
        <f t="shared" ref="BX20" si="189">(BX10+BX13)/BX14</f>
        <v>5.3558649029249485E-2</v>
      </c>
      <c r="BY20" s="16">
        <f t="shared" ref="BY20:BZ20" si="190">(BY10+BY13)/BY14</f>
        <v>5.3567923896604669E-2</v>
      </c>
      <c r="BZ20" s="16">
        <f t="shared" si="190"/>
        <v>5.3579057978545286E-2</v>
      </c>
      <c r="CA20" s="16">
        <f t="shared" ref="CA20:CB20" si="191">(CA10+CA13)/CA14</f>
        <v>5.3578028273122053E-2</v>
      </c>
      <c r="CB20" s="16">
        <f t="shared" si="191"/>
        <v>5.3600101655365211E-2</v>
      </c>
      <c r="CC20" s="16">
        <f t="shared" ref="CC20:CD20" si="192">(CC10+CC13)/CC14</f>
        <v>5.3633118046007559E-2</v>
      </c>
      <c r="CD20" s="16">
        <f t="shared" si="192"/>
        <v>5.3638695662221812E-2</v>
      </c>
      <c r="CE20" s="16">
        <f t="shared" ref="CE20:CF20" si="193">(CE10+CE13)/CE14</f>
        <v>5.363457760314342E-2</v>
      </c>
      <c r="CF20" s="16">
        <f t="shared" si="193"/>
        <v>5.3657296097651193E-2</v>
      </c>
      <c r="CG20" s="16">
        <f t="shared" ref="CG20:CH20" si="194">(CG10+CG13)/CG14</f>
        <v>5.3664119489948092E-2</v>
      </c>
      <c r="CH20" s="16">
        <f t="shared" si="194"/>
        <v>5.3667842071796056E-2</v>
      </c>
      <c r="CI20" s="16">
        <f t="shared" ref="CI20" si="195">(CI10+CI13)/CI14</f>
        <v>5.3659382587582377E-2</v>
      </c>
      <c r="CJ20" s="16">
        <f t="shared" ref="CJ20:CK20" si="196">(CJ10+CJ13)/CJ14</f>
        <v>5.3660849553019002E-2</v>
      </c>
      <c r="CK20" s="16">
        <f t="shared" si="196"/>
        <v>5.3663952627683198E-2</v>
      </c>
      <c r="CL20" s="16">
        <f t="shared" ref="CL20:CM20" si="197">(CL10+CL13)/CL14</f>
        <v>5.3677610420860229E-2</v>
      </c>
      <c r="CM20" s="16">
        <f t="shared" si="197"/>
        <v>5.3672872001943747E-2</v>
      </c>
      <c r="CN20" s="16">
        <f t="shared" ref="CN20:CO20" si="198">(CN10+CN13)/CN14</f>
        <v>5.3637142129747496E-2</v>
      </c>
      <c r="CO20" s="16">
        <f t="shared" si="198"/>
        <v>5.3647075163776939E-2</v>
      </c>
      <c r="CP20" s="16">
        <f t="shared" ref="CP20:CQ20" si="199">(CP10+CP13)/CP14</f>
        <v>5.3657633044303724E-2</v>
      </c>
      <c r="CQ20" s="16">
        <f t="shared" si="199"/>
        <v>5.3688244624807514E-2</v>
      </c>
      <c r="CR20" s="16">
        <f t="shared" ref="CR20:CS20" si="200">(CR10+CR13)/CR14</f>
        <v>5.3704797304338761E-2</v>
      </c>
      <c r="CS20" s="16">
        <f t="shared" si="200"/>
        <v>5.371412688485859E-2</v>
      </c>
      <c r="CT20" s="16">
        <f t="shared" ref="CT20:CU20" si="201">(CT10+CT13)/CT14</f>
        <v>5.3719103986657094E-2</v>
      </c>
      <c r="CU20" s="16">
        <f t="shared" si="201"/>
        <v>5.3715609614827686E-2</v>
      </c>
      <c r="CV20" s="16">
        <f t="shared" ref="CV20:CW20" si="202">(CV10+CV13)/CV14</f>
        <v>5.3726812425411614E-2</v>
      </c>
      <c r="CW20" s="16">
        <f t="shared" si="202"/>
        <v>5.3731792952409645E-2</v>
      </c>
      <c r="CX20" s="16">
        <f t="shared" ref="CX20:CY20" si="203">(CX10+CX13)/CX14</f>
        <v>5.3775902832506606E-2</v>
      </c>
      <c r="CY20" s="16">
        <f t="shared" si="203"/>
        <v>5.3786500052163629E-2</v>
      </c>
      <c r="CZ20" s="16">
        <f t="shared" ref="CZ20:DA20" si="204">(CZ10+CZ13)/CZ14</f>
        <v>5.3823410052756683E-2</v>
      </c>
      <c r="DA20" s="16">
        <f t="shared" si="204"/>
        <v>5.383241312114323E-2</v>
      </c>
      <c r="DB20" s="16">
        <f t="shared" ref="DB20:DC20" si="205">(DB10+DB13)/DB14</f>
        <v>5.3861505615891578E-2</v>
      </c>
      <c r="DC20" s="16">
        <f t="shared" si="205"/>
        <v>5.3893744704066118E-2</v>
      </c>
      <c r="DD20" s="16">
        <f t="shared" ref="DD20:DE20" si="206">(DD10+DD13)/DD14</f>
        <v>5.391627474888231E-2</v>
      </c>
      <c r="DE20" s="16">
        <f t="shared" si="206"/>
        <v>5.3933811144539823E-2</v>
      </c>
      <c r="DF20" s="16">
        <f t="shared" ref="DF20:DG20" si="207">(DF10+DF13)/DF14</f>
        <v>5.3944463808527944E-2</v>
      </c>
      <c r="DG20" s="16">
        <f t="shared" si="207"/>
        <v>5.401006730914544E-2</v>
      </c>
      <c r="DH20" s="16">
        <f t="shared" ref="DH20:DI20" si="208">(DH10+DH13)/DH14</f>
        <v>5.3990255474028165E-2</v>
      </c>
      <c r="DI20" s="16">
        <f t="shared" si="208"/>
        <v>5.4005327253905298E-2</v>
      </c>
      <c r="DJ20" s="16">
        <f t="shared" ref="DJ20:DK20" si="209">(DJ10+DJ13)/DJ14</f>
        <v>5.4002792646032118E-2</v>
      </c>
      <c r="DK20" s="16">
        <f t="shared" si="209"/>
        <v>5.4018506663562824E-2</v>
      </c>
      <c r="DL20" s="16">
        <f t="shared" ref="DL20:DM20" si="210">(DL10+DL13)/DL14</f>
        <v>5.4013136441980712E-2</v>
      </c>
      <c r="DM20" s="16">
        <f t="shared" si="210"/>
        <v>5.4039568429147346E-2</v>
      </c>
      <c r="DN20" s="16">
        <f t="shared" ref="DN20:DO20" si="211">(DN10+DN13)/DN14</f>
        <v>5.4049644563570677E-2</v>
      </c>
      <c r="DO20" s="16">
        <f t="shared" si="211"/>
        <v>5.4050588646695416E-2</v>
      </c>
      <c r="DP20" s="16">
        <f t="shared" ref="DP20:FZ20" si="212">(DP10+DP13)/DP14</f>
        <v>5.4060040804430193E-2</v>
      </c>
      <c r="DQ20" s="16">
        <f t="shared" si="212"/>
        <v>5.407769368024537E-2</v>
      </c>
      <c r="DR20" s="16">
        <f t="shared" si="212"/>
        <v>5.4077383382519335E-2</v>
      </c>
      <c r="DS20" s="16">
        <f t="shared" si="212"/>
        <v>5.4097882517645683E-2</v>
      </c>
      <c r="DT20" s="16">
        <f t="shared" si="212"/>
        <v>5.4116493979277515E-2</v>
      </c>
      <c r="DU20" s="16">
        <f t="shared" si="212"/>
        <v>5.4128493902083213E-2</v>
      </c>
      <c r="DV20" s="16">
        <f t="shared" si="212"/>
        <v>5.4148379867401251E-2</v>
      </c>
      <c r="DW20" s="16">
        <f t="shared" si="212"/>
        <v>5.4156597672165213E-2</v>
      </c>
      <c r="DX20" s="16">
        <f t="shared" si="212"/>
        <v>5.4153142003129158E-2</v>
      </c>
      <c r="DY20" s="16">
        <f t="shared" si="212"/>
        <v>5.4168321225853168E-2</v>
      </c>
      <c r="DZ20" s="16">
        <f t="shared" si="212"/>
        <v>5.4175281213862704E-2</v>
      </c>
      <c r="EA20" s="16">
        <f t="shared" si="212"/>
        <v>5.4152889906649064E-2</v>
      </c>
      <c r="EB20" s="16">
        <f t="shared" si="212"/>
        <v>5.4149430928509663E-2</v>
      </c>
      <c r="EC20" s="16">
        <f t="shared" si="212"/>
        <v>5.4162721928071346E-2</v>
      </c>
      <c r="ED20" s="16">
        <f t="shared" si="212"/>
        <v>5.4187710437710437E-2</v>
      </c>
      <c r="EE20" s="16">
        <f t="shared" si="212"/>
        <v>5.4197214719191776E-2</v>
      </c>
      <c r="EF20" s="16">
        <f t="shared" si="212"/>
        <v>5.4210526315789473E-2</v>
      </c>
      <c r="EG20" s="16">
        <f t="shared" si="212"/>
        <v>5.4217501666881121E-2</v>
      </c>
      <c r="EH20" s="16">
        <f t="shared" si="212"/>
        <v>5.4221941461360286E-2</v>
      </c>
      <c r="EI20" s="16">
        <f t="shared" si="212"/>
        <v>5.4229554229554229E-2</v>
      </c>
      <c r="EJ20" s="16">
        <f t="shared" si="212"/>
        <v>5.4242246928028086E-2</v>
      </c>
      <c r="EK20" s="16">
        <f t="shared" si="212"/>
        <v>5.4252405365545334E-2</v>
      </c>
      <c r="EL20" s="16">
        <f t="shared" si="212"/>
        <v>5.4258756321408502E-2</v>
      </c>
      <c r="EM20" s="16">
        <f t="shared" si="212"/>
        <v>5.4265108764371184E-2</v>
      </c>
      <c r="EN20" s="16">
        <f t="shared" si="212"/>
        <v>5.4283807360397174E-2</v>
      </c>
      <c r="EO20" s="16">
        <f t="shared" si="212"/>
        <v>5.4307598613323342E-2</v>
      </c>
      <c r="EP20" s="16">
        <f t="shared" si="212"/>
        <v>5.4315232160427308E-2</v>
      </c>
      <c r="EQ20" s="16">
        <f t="shared" si="212"/>
        <v>5.4328596032852575E-2</v>
      </c>
      <c r="ER20" s="16">
        <f t="shared" si="212"/>
        <v>5.433750893516294E-2</v>
      </c>
      <c r="ES20" s="16">
        <f t="shared" si="212"/>
        <v>5.4347061719134573E-2</v>
      </c>
      <c r="ET20" s="16">
        <f t="shared" si="212"/>
        <v>5.4352157910776661E-2</v>
      </c>
      <c r="EU20" s="16">
        <f t="shared" si="212"/>
        <v>5.4356617862543519E-2</v>
      </c>
      <c r="EV20" s="16">
        <f t="shared" si="212"/>
        <v>5.4362990492045439E-2</v>
      </c>
      <c r="EW20" s="16">
        <f t="shared" si="212"/>
        <v>5.4355090220539096E-2</v>
      </c>
      <c r="EX20" s="16">
        <f t="shared" si="212"/>
        <v>5.4362738775079446E-2</v>
      </c>
      <c r="EY20" s="16">
        <f t="shared" si="212"/>
        <v>5.4369114215013663E-2</v>
      </c>
      <c r="EZ20" s="16">
        <f t="shared" si="212"/>
        <v>5.4378042343557566E-2</v>
      </c>
      <c r="FA20" s="16">
        <f t="shared" si="212"/>
        <v>5.4386726587892939E-2</v>
      </c>
      <c r="FB20" s="16">
        <f t="shared" si="212"/>
        <v>5.4380735559884527E-2</v>
      </c>
      <c r="FC20" s="16">
        <f t="shared" si="212"/>
        <v>5.4400131452313323E-2</v>
      </c>
      <c r="FD20" s="16">
        <f t="shared" si="212"/>
        <v>5.4405239805620113E-2</v>
      </c>
      <c r="FE20" s="16">
        <f t="shared" si="212"/>
        <v>5.4411626596543951E-2</v>
      </c>
      <c r="FF20" s="16">
        <f t="shared" si="212"/>
        <v>5.4418014887172142E-2</v>
      </c>
      <c r="FG20" s="16">
        <f t="shared" si="212"/>
        <v>5.4421848581626901E-2</v>
      </c>
      <c r="FH20" s="16">
        <f t="shared" si="212"/>
        <v>5.4443178748840325E-2</v>
      </c>
      <c r="FI20" s="16">
        <f t="shared" si="212"/>
        <v>5.4447654616775892E-2</v>
      </c>
      <c r="FJ20" s="16">
        <f t="shared" si="212"/>
        <v>5.4448933571361456E-2</v>
      </c>
      <c r="FK20" s="16">
        <f t="shared" si="212"/>
        <v>5.4455329245659781E-2</v>
      </c>
      <c r="FL20" s="16">
        <f t="shared" si="212"/>
        <v>5.4463006038391958E-2</v>
      </c>
      <c r="FM20" s="16">
        <f t="shared" si="212"/>
        <v>5.4469405019268731E-2</v>
      </c>
      <c r="FN20" s="16">
        <f t="shared" si="212"/>
        <v>5.448755610913962E-2</v>
      </c>
      <c r="FO20" s="16">
        <f t="shared" si="212"/>
        <v>5.4503567356629874E-2</v>
      </c>
      <c r="FP20" s="16">
        <f t="shared" si="212"/>
        <v>5.451574219944038E-2</v>
      </c>
      <c r="FQ20" s="16">
        <f t="shared" si="212"/>
        <v>5.4510615286953661E-2</v>
      </c>
      <c r="FR20" s="16">
        <f t="shared" si="212"/>
        <v>5.4533910262440033E-2</v>
      </c>
      <c r="FS20" s="16">
        <f t="shared" si="212"/>
        <v>5.4544813068175137E-2</v>
      </c>
      <c r="FT20" s="16">
        <f t="shared" si="212"/>
        <v>5.4550586906918212E-2</v>
      </c>
      <c r="FU20" s="16">
        <f t="shared" si="212"/>
        <v>5.4556361968169577E-2</v>
      </c>
      <c r="FV20" s="16">
        <f t="shared" si="212"/>
        <v>5.4562138252317538E-2</v>
      </c>
      <c r="FW20" s="16">
        <f t="shared" si="212"/>
        <v>5.4602569532683894E-2</v>
      </c>
      <c r="FX20" s="16">
        <f t="shared" si="212"/>
        <v>5.464750944328732E-2</v>
      </c>
      <c r="FY20" s="16">
        <f t="shared" si="212"/>
        <v>5.4703590805842271E-2</v>
      </c>
      <c r="FZ20" s="16">
        <f t="shared" si="212"/>
        <v>5.4737436875375217E-2</v>
      </c>
      <c r="GA20" s="16">
        <f t="shared" ref="GA20:IF20" si="213">(GA10+GA13)/GA14</f>
        <v>5.478048952777876E-2</v>
      </c>
      <c r="GB20" s="16">
        <f t="shared" si="213"/>
        <v>5.4806458070822094E-2</v>
      </c>
      <c r="GC20" s="16">
        <f t="shared" si="213"/>
        <v>5.4867777843218092E-2</v>
      </c>
      <c r="GD20" s="16">
        <f t="shared" si="213"/>
        <v>5.4895862783903494E-2</v>
      </c>
      <c r="GE20" s="16">
        <f t="shared" si="213"/>
        <v>5.4918641231987371E-2</v>
      </c>
      <c r="GF20" s="16">
        <f t="shared" si="213"/>
        <v>5.4968237692842578E-2</v>
      </c>
      <c r="GG20" s="16">
        <f t="shared" si="213"/>
        <v>5.5029648578872291E-2</v>
      </c>
      <c r="GH20" s="16">
        <f t="shared" si="213"/>
        <v>5.5065559852844073E-2</v>
      </c>
      <c r="GI20" s="16">
        <f t="shared" si="213"/>
        <v>5.5115231288184373E-2</v>
      </c>
      <c r="GJ20" s="16">
        <f t="shared" si="213"/>
        <v>5.515833687290575E-2</v>
      </c>
      <c r="GK20" s="16">
        <f t="shared" si="213"/>
        <v>5.5158903430614727E-2</v>
      </c>
      <c r="GL20" s="16">
        <f t="shared" si="213"/>
        <v>5.5222400604400791E-2</v>
      </c>
      <c r="GM20" s="16">
        <f t="shared" si="213"/>
        <v>5.5215665895025273E-2</v>
      </c>
      <c r="GN20" s="16">
        <f t="shared" si="213"/>
        <v>5.5271274772805162E-2</v>
      </c>
      <c r="GO20" s="16">
        <f t="shared" si="213"/>
        <v>5.5274481062934415E-2</v>
      </c>
      <c r="GP20" s="16">
        <f t="shared" si="213"/>
        <v>5.5223792349080592E-2</v>
      </c>
      <c r="GQ20" s="16">
        <f t="shared" si="213"/>
        <v>5.5224304372515617E-2</v>
      </c>
      <c r="GR20" s="16">
        <f t="shared" si="213"/>
        <v>5.5272159164881464E-2</v>
      </c>
      <c r="GS20" s="16">
        <f t="shared" si="213"/>
        <v>5.5289827618867207E-2</v>
      </c>
      <c r="GT20" s="16">
        <f t="shared" si="213"/>
        <v>5.530155872459374E-2</v>
      </c>
      <c r="GU20" s="16">
        <f t="shared" si="213"/>
        <v>5.5341589144990225E-2</v>
      </c>
      <c r="GV20" s="16">
        <f t="shared" si="213"/>
        <v>5.5408658121583645E-2</v>
      </c>
      <c r="GW20" s="16">
        <f t="shared" si="213"/>
        <v>5.5461965548331986E-2</v>
      </c>
      <c r="GX20" s="16">
        <f t="shared" si="213"/>
        <v>5.5450602982237272E-2</v>
      </c>
      <c r="GY20" s="16">
        <f t="shared" si="213"/>
        <v>5.5424696645253388E-2</v>
      </c>
      <c r="GZ20" s="16">
        <f t="shared" si="213"/>
        <v>5.5431817911123289E-2</v>
      </c>
      <c r="HA20" s="16">
        <f t="shared" si="213"/>
        <v>5.5488669821554162E-2</v>
      </c>
      <c r="HB20" s="16">
        <f t="shared" si="213"/>
        <v>5.5493260169390435E-2</v>
      </c>
      <c r="HC20" s="16">
        <f t="shared" si="213"/>
        <v>5.544017950921417E-2</v>
      </c>
      <c r="HD20" s="16">
        <f t="shared" si="213"/>
        <v>5.5474626865671645E-2</v>
      </c>
      <c r="HE20" s="16">
        <f t="shared" si="213"/>
        <v>5.5476597116889008E-2</v>
      </c>
      <c r="HF20" s="16">
        <f t="shared" si="213"/>
        <v>5.5431445398831637E-2</v>
      </c>
      <c r="HG20" s="16">
        <f t="shared" si="213"/>
        <v>5.5452666292282508E-2</v>
      </c>
      <c r="HH20" s="16">
        <f t="shared" si="213"/>
        <v>5.5436055543605554E-2</v>
      </c>
      <c r="HI20" s="16">
        <f t="shared" si="213"/>
        <v>5.5426727229261293E-2</v>
      </c>
      <c r="HJ20" s="16">
        <f t="shared" si="213"/>
        <v>5.5437329635120269E-2</v>
      </c>
      <c r="HK20" s="16">
        <f t="shared" si="213"/>
        <v>5.5451914567936668E-2</v>
      </c>
      <c r="HL20" s="16">
        <f t="shared" si="213"/>
        <v>5.5458546620102377E-2</v>
      </c>
      <c r="HM20" s="16">
        <f t="shared" si="213"/>
        <v>5.5459209912571313E-2</v>
      </c>
      <c r="HN20" s="16">
        <f t="shared" si="213"/>
        <v>5.5451228993481254E-2</v>
      </c>
      <c r="HO20" s="16">
        <f t="shared" si="213"/>
        <v>5.5465180258845483E-2</v>
      </c>
      <c r="HP20" s="16">
        <f t="shared" si="213"/>
        <v>5.5470488312558318E-2</v>
      </c>
      <c r="HQ20" s="16">
        <f t="shared" si="213"/>
        <v>5.5475133693038393E-2</v>
      </c>
      <c r="HR20" s="16">
        <f t="shared" si="213"/>
        <v>5.5488424956630977E-2</v>
      </c>
      <c r="HS20" s="16">
        <f t="shared" si="213"/>
        <v>5.5503044950407386E-2</v>
      </c>
      <c r="HT20" s="16">
        <f t="shared" si="213"/>
        <v>5.5520987890681092E-2</v>
      </c>
      <c r="HU20" s="16">
        <f t="shared" si="213"/>
        <v>5.5537605456830015E-2</v>
      </c>
      <c r="HV20" s="16">
        <f t="shared" si="213"/>
        <v>5.5530954917002766E-2</v>
      </c>
      <c r="HW20" s="16">
        <f t="shared" si="213"/>
        <v>5.5533613395090539E-2</v>
      </c>
      <c r="HX20" s="16">
        <f t="shared" si="213"/>
        <v>5.5538931114967979E-2</v>
      </c>
      <c r="HY20" s="16">
        <f t="shared" si="213"/>
        <v>5.5564865576596206E-2</v>
      </c>
      <c r="HZ20" s="16">
        <f t="shared" si="213"/>
        <v>5.5556220596861272E-2</v>
      </c>
      <c r="IA20" s="16">
        <f t="shared" si="213"/>
        <v>5.5558215816314316E-2</v>
      </c>
      <c r="IB20" s="16">
        <f t="shared" si="213"/>
        <v>5.5560211179083212E-2</v>
      </c>
      <c r="IC20" s="16">
        <f t="shared" si="213"/>
        <v>5.5584826132771339E-2</v>
      </c>
      <c r="ID20" s="16">
        <f t="shared" si="213"/>
        <v>5.5592814371257487E-2</v>
      </c>
      <c r="IE20" s="16">
        <f t="shared" si="213"/>
        <v>5.5604134973587439E-2</v>
      </c>
      <c r="IF20" s="16">
        <f t="shared" si="213"/>
        <v>5.5618125614051904E-2</v>
      </c>
      <c r="IG20" s="16">
        <f t="shared" ref="IG20:JL20" si="214">(IG10+IG13)/IG14</f>
        <v>5.571067358506393E-2</v>
      </c>
      <c r="IH20" s="16">
        <f t="shared" si="214"/>
        <v>5.5687402612968957E-2</v>
      </c>
      <c r="II20" s="16">
        <f t="shared" si="214"/>
        <v>5.5707401280299218E-2</v>
      </c>
      <c r="IJ20" s="16">
        <f t="shared" si="214"/>
        <v>5.5710106000287786E-2</v>
      </c>
      <c r="IK20" s="16">
        <f t="shared" si="214"/>
        <v>5.5758113651083019E-2</v>
      </c>
      <c r="IL20" s="16">
        <f t="shared" si="214"/>
        <v>5.5751511661387851E-2</v>
      </c>
      <c r="IM20" s="16">
        <f t="shared" si="214"/>
        <v>5.5769576957695771E-2</v>
      </c>
      <c r="IN20" s="16">
        <f t="shared" si="214"/>
        <v>5.5742979602127429E-2</v>
      </c>
      <c r="IO20" s="16">
        <f t="shared" si="214"/>
        <v>5.5737704918032788E-2</v>
      </c>
      <c r="IP20" s="16">
        <f t="shared" si="214"/>
        <v>5.5743141755085858E-2</v>
      </c>
      <c r="IQ20" s="16">
        <f t="shared" si="214"/>
        <v>5.5733881535446797E-2</v>
      </c>
      <c r="IR20" s="16">
        <f t="shared" si="214"/>
        <v>5.5754703363325796E-2</v>
      </c>
      <c r="IS20" s="16">
        <f t="shared" si="214"/>
        <v>5.5780920854649411E-2</v>
      </c>
      <c r="IT20" s="16">
        <f t="shared" si="214"/>
        <v>5.5788307810844651E-2</v>
      </c>
      <c r="IU20" s="16">
        <f t="shared" si="214"/>
        <v>5.5793009619899588E-2</v>
      </c>
      <c r="IV20" s="16">
        <f t="shared" si="214"/>
        <v>5.5800399778436045E-2</v>
      </c>
      <c r="IW20" s="16">
        <f t="shared" si="214"/>
        <v>5.5802415616006164E-2</v>
      </c>
      <c r="IX20" s="16">
        <f t="shared" si="214"/>
        <v>5.5804431599229286E-2</v>
      </c>
      <c r="IY20" s="16">
        <f t="shared" si="214"/>
        <v>5.5807119803458739E-2</v>
      </c>
      <c r="IZ20" s="16">
        <f t="shared" si="214"/>
        <v>5.5823196435023488E-2</v>
      </c>
      <c r="JA20" s="16">
        <f t="shared" si="214"/>
        <v>5.5825213484770014E-2</v>
      </c>
      <c r="JB20" s="16">
        <f t="shared" si="214"/>
        <v>5.5840620558406204E-2</v>
      </c>
      <c r="JC20" s="16">
        <f t="shared" si="214"/>
        <v>5.5841293166789124E-2</v>
      </c>
      <c r="JD20" s="16">
        <f t="shared" si="214"/>
        <v>5.5852665558526658E-2</v>
      </c>
      <c r="JE20" s="16">
        <f t="shared" si="214"/>
        <v>5.5856029487936207E-2</v>
      </c>
      <c r="JF20" s="16">
        <f t="shared" si="214"/>
        <v>5.5866796785580895E-2</v>
      </c>
      <c r="JG20" s="16">
        <f t="shared" si="214"/>
        <v>5.5868142989674574E-2</v>
      </c>
      <c r="JH20" s="16">
        <f t="shared" si="214"/>
        <v>5.588288451111513E-2</v>
      </c>
      <c r="JI20" s="16">
        <f t="shared" si="214"/>
        <v>5.588288451111513E-2</v>
      </c>
      <c r="JJ20" s="16">
        <f t="shared" si="214"/>
        <v>5.5896280409191139E-2</v>
      </c>
      <c r="JK20" s="16">
        <f t="shared" si="214"/>
        <v>5.5921052631578948E-2</v>
      </c>
      <c r="JL20" s="16">
        <f t="shared" si="214"/>
        <v>5.5925769717418812E-2</v>
      </c>
      <c r="JM20" s="16">
        <f t="shared" ref="JM20:KR20" si="215">(JM10+JM13)/JM14</f>
        <v>5.5945235857015448E-2</v>
      </c>
      <c r="JN20" s="16">
        <f t="shared" si="215"/>
        <v>5.5959311084595821E-2</v>
      </c>
      <c r="JO20" s="16">
        <f t="shared" si="215"/>
        <v>5.5947258680743878E-2</v>
      </c>
      <c r="JP20" s="16">
        <f t="shared" si="215"/>
        <v>5.5949956006605038E-2</v>
      </c>
      <c r="JQ20" s="16">
        <f t="shared" si="215"/>
        <v>5.596335804254806E-2</v>
      </c>
      <c r="JR20" s="16">
        <f t="shared" si="215"/>
        <v>5.597878495660559E-2</v>
      </c>
      <c r="JS20" s="16">
        <f t="shared" si="215"/>
        <v>5.5958724112158548E-2</v>
      </c>
      <c r="JT20" s="16">
        <f t="shared" si="215"/>
        <v>5.5987558320373249E-2</v>
      </c>
      <c r="JU20" s="16">
        <f t="shared" si="215"/>
        <v>5.5991608492784027E-2</v>
      </c>
      <c r="JV20" s="16">
        <f t="shared" si="215"/>
        <v>5.5997009634283099E-2</v>
      </c>
      <c r="JW20" s="16">
        <f t="shared" si="215"/>
        <v>5.5975593580050408E-2</v>
      </c>
      <c r="JX20" s="16">
        <f t="shared" si="215"/>
        <v>5.5989677543834264E-2</v>
      </c>
      <c r="JY20" s="16">
        <f t="shared" si="215"/>
        <v>5.5994404177570879E-2</v>
      </c>
      <c r="JZ20" s="16">
        <f t="shared" si="215"/>
        <v>5.5983019368532769E-2</v>
      </c>
      <c r="KA20" s="16">
        <f t="shared" si="215"/>
        <v>5.604274978588919E-2</v>
      </c>
      <c r="KB20" s="16">
        <f t="shared" si="215"/>
        <v>5.6076344903302086E-2</v>
      </c>
      <c r="KC20" s="16">
        <f t="shared" si="215"/>
        <v>5.6113215742103609E-2</v>
      </c>
      <c r="KD20" s="16">
        <f t="shared" si="215"/>
        <v>5.6174217289014901E-2</v>
      </c>
      <c r="KE20" s="16">
        <f t="shared" si="215"/>
        <v>5.6211768396414223E-2</v>
      </c>
      <c r="KF20" s="16">
        <f t="shared" si="215"/>
        <v>5.6249321316103815E-2</v>
      </c>
      <c r="KG20" s="16">
        <f t="shared" si="215"/>
        <v>5.6298262548262548E-2</v>
      </c>
      <c r="KH20" s="16">
        <f t="shared" si="215"/>
        <v>5.6312366519058361E-2</v>
      </c>
      <c r="KI20" s="16">
        <f t="shared" si="215"/>
        <v>5.6349924585218703E-2</v>
      </c>
      <c r="KJ20" s="16">
        <f t="shared" si="215"/>
        <v>5.6362671042787846E-2</v>
      </c>
      <c r="KK20" s="16">
        <f t="shared" si="215"/>
        <v>5.640703820810504E-2</v>
      </c>
      <c r="KL20" s="16">
        <f t="shared" si="215"/>
        <v>5.6518380844336094E-2</v>
      </c>
      <c r="KM20" s="16">
        <f t="shared" si="215"/>
        <v>5.6533391279153994E-2</v>
      </c>
      <c r="KN20" s="16">
        <f t="shared" si="215"/>
        <v>5.6561632258843413E-2</v>
      </c>
      <c r="KO20" s="16">
        <f t="shared" si="215"/>
        <v>5.6539534209859105E-2</v>
      </c>
      <c r="KP20" s="16">
        <f t="shared" si="215"/>
        <v>5.6522894126738797E-2</v>
      </c>
      <c r="KQ20" s="16">
        <f t="shared" si="215"/>
        <v>5.6627699144968839E-2</v>
      </c>
      <c r="KR20" s="16">
        <f t="shared" si="215"/>
        <v>5.6704268219039108E-2</v>
      </c>
      <c r="KS20" s="16">
        <f t="shared" ref="KS20:LX20" si="216">(KS10+KS13)/KS14</f>
        <v>5.6892303232352517E-2</v>
      </c>
      <c r="KT20" s="16">
        <f t="shared" si="216"/>
        <v>5.6961260542787405E-2</v>
      </c>
      <c r="KU20" s="16">
        <f t="shared" si="216"/>
        <v>5.695674767665293E-2</v>
      </c>
      <c r="KV20" s="16">
        <f t="shared" si="216"/>
        <v>5.7013355895328459E-2</v>
      </c>
      <c r="KW20" s="16">
        <f t="shared" si="216"/>
        <v>5.7024383757057026E-2</v>
      </c>
      <c r="KX20" s="16">
        <f t="shared" si="216"/>
        <v>5.7091375223721763E-2</v>
      </c>
      <c r="KY20" s="16">
        <f t="shared" si="216"/>
        <v>4.1741052452605627E-2</v>
      </c>
      <c r="KZ20" s="16">
        <f t="shared" si="216"/>
        <v>4.1983109544929828E-2</v>
      </c>
      <c r="LA20" s="16">
        <f t="shared" si="216"/>
        <v>4.2030906150834664E-2</v>
      </c>
      <c r="LB20" s="16">
        <f t="shared" si="216"/>
        <v>4.2137293086660178E-2</v>
      </c>
      <c r="LC20" s="16">
        <f t="shared" si="216"/>
        <v>4.2387754107151565E-2</v>
      </c>
      <c r="LD20" s="16">
        <f t="shared" si="216"/>
        <v>4.2463363147169718E-2</v>
      </c>
      <c r="LE20" s="16">
        <f t="shared" si="216"/>
        <v>4.2487211105277936E-2</v>
      </c>
      <c r="LF20" s="16">
        <f t="shared" si="216"/>
        <v>4.2887680938129849E-2</v>
      </c>
      <c r="LG20" s="16">
        <f t="shared" si="216"/>
        <v>4.3055182024889366E-2</v>
      </c>
      <c r="LH20" s="16">
        <f t="shared" si="216"/>
        <v>4.3332517739172988E-2</v>
      </c>
      <c r="LI20" s="16">
        <f t="shared" si="216"/>
        <v>4.4010378420717679E-2</v>
      </c>
      <c r="LJ20" s="16">
        <f t="shared" si="216"/>
        <v>4.4374242368585386E-2</v>
      </c>
      <c r="LK20" s="16">
        <f t="shared" si="216"/>
        <v>4.4794767206849669E-2</v>
      </c>
      <c r="LL20" s="16">
        <f t="shared" si="216"/>
        <v>4.5344278363146286E-2</v>
      </c>
      <c r="LM20" s="16">
        <f t="shared" si="216"/>
        <v>4.5925308558751793E-2</v>
      </c>
      <c r="LN20" s="16">
        <f t="shared" si="216"/>
        <v>4.6325134266866123E-2</v>
      </c>
      <c r="LO20" s="16">
        <f t="shared" si="216"/>
        <v>4.7020289997301207E-2</v>
      </c>
      <c r="LP20" s="16">
        <f t="shared" si="216"/>
        <v>4.8324536639253714E-2</v>
      </c>
      <c r="LQ20" s="16">
        <f t="shared" si="216"/>
        <v>4.963224008153342E-2</v>
      </c>
      <c r="LR20" s="16">
        <f t="shared" si="216"/>
        <v>5.1797429785979308E-2</v>
      </c>
      <c r="LS20" s="16">
        <f t="shared" si="216"/>
        <v>5.3184165232358006E-2</v>
      </c>
      <c r="LT20" s="16">
        <f t="shared" si="216"/>
        <v>5.563142031125054E-2</v>
      </c>
      <c r="LU20" s="16">
        <f t="shared" si="216"/>
        <v>5.7622694476593857E-2</v>
      </c>
      <c r="LV20" s="16">
        <f t="shared" si="216"/>
        <v>5.9750403469219303E-2</v>
      </c>
      <c r="LW20" s="16">
        <f t="shared" si="216"/>
        <v>6.189190189042211E-2</v>
      </c>
      <c r="LX20" s="16">
        <f t="shared" si="216"/>
        <v>6.2995040343474723E-2</v>
      </c>
      <c r="LY20" s="16">
        <f t="shared" ref="LY20:ND20" si="217">(LY10+LY13)/LY14</f>
        <v>6.4413391269998024E-2</v>
      </c>
      <c r="LZ20" s="16">
        <f t="shared" si="217"/>
        <v>6.6496226857855667E-2</v>
      </c>
      <c r="MA20" s="16">
        <f t="shared" si="217"/>
        <v>6.8690688018979831E-2</v>
      </c>
      <c r="MB20" s="16">
        <f t="shared" si="217"/>
        <v>7.2428115805869414E-2</v>
      </c>
      <c r="MC20" s="16">
        <f t="shared" si="217"/>
        <v>7.487543427999159E-2</v>
      </c>
      <c r="MD20" s="16">
        <f t="shared" si="217"/>
        <v>7.7232253277269361E-2</v>
      </c>
      <c r="ME20" s="16">
        <f t="shared" si="217"/>
        <v>7.947404878531493E-2</v>
      </c>
      <c r="MF20" s="16">
        <f t="shared" si="217"/>
        <v>8.4121053152528949E-2</v>
      </c>
      <c r="MG20" s="16">
        <f t="shared" si="217"/>
        <v>8.9045079380792688E-2</v>
      </c>
      <c r="MH20" s="16">
        <f t="shared" si="217"/>
        <v>9.1913903432228036E-2</v>
      </c>
      <c r="MI20" s="16">
        <f t="shared" si="217"/>
        <v>9.4704003565327197E-2</v>
      </c>
      <c r="MJ20" s="16">
        <f t="shared" si="217"/>
        <v>9.8199469995294345E-2</v>
      </c>
      <c r="MK20" s="16">
        <f t="shared" si="217"/>
        <v>0.101938440577197</v>
      </c>
      <c r="ML20" s="16">
        <f t="shared" si="217"/>
        <v>0.10361236755684987</v>
      </c>
      <c r="MM20" s="16">
        <f t="shared" si="217"/>
        <v>0.10612391662843611</v>
      </c>
      <c r="MN20" s="16">
        <f t="shared" si="217"/>
        <v>0.10898550004965736</v>
      </c>
      <c r="MO20" s="16">
        <f t="shared" si="217"/>
        <v>0.11148005820244003</v>
      </c>
      <c r="MP20" s="16">
        <f t="shared" si="217"/>
        <v>0.11706739753332503</v>
      </c>
      <c r="MQ20" s="16">
        <f t="shared" si="217"/>
        <v>0.12163291786752504</v>
      </c>
      <c r="MR20" s="16">
        <f t="shared" si="217"/>
        <v>0.12523273395229109</v>
      </c>
      <c r="MS20" s="16">
        <f t="shared" si="217"/>
        <v>0.12821958308278211</v>
      </c>
      <c r="MT20" s="16">
        <f t="shared" si="217"/>
        <v>0.13247782362367666</v>
      </c>
      <c r="MU20" s="16">
        <f t="shared" si="217"/>
        <v>0.13625291789302751</v>
      </c>
      <c r="MV20" s="16">
        <f t="shared" si="217"/>
        <v>0.14127928455864555</v>
      </c>
      <c r="MW20" s="16">
        <f t="shared" si="217"/>
        <v>0.14689229350276697</v>
      </c>
      <c r="MX20" s="16">
        <f t="shared" si="217"/>
        <v>0.15180663936748306</v>
      </c>
      <c r="MY20" s="16">
        <f t="shared" si="217"/>
        <v>0.16211276733635774</v>
      </c>
      <c r="MZ20" s="16">
        <f t="shared" si="217"/>
        <v>0.17430071747946346</v>
      </c>
      <c r="NA20" s="16">
        <f t="shared" si="217"/>
        <v>0.18118183724832215</v>
      </c>
      <c r="NB20" s="16">
        <f t="shared" si="217"/>
        <v>0.18274894256235918</v>
      </c>
      <c r="NC20" s="16">
        <f t="shared" si="217"/>
        <v>0.18642169542145542</v>
      </c>
      <c r="ND20" s="16">
        <f t="shared" si="217"/>
        <v>0.18846127923434658</v>
      </c>
      <c r="NE20" s="16">
        <f t="shared" ref="NE20:OG20" si="218">(NE10+NE13)/NE14</f>
        <v>0.18787619415760121</v>
      </c>
      <c r="NF20" s="16">
        <f t="shared" si="218"/>
        <v>0.17596530022112605</v>
      </c>
      <c r="NG20" s="16">
        <f t="shared" si="218"/>
        <v>0.18886131386861313</v>
      </c>
      <c r="NH20" s="16">
        <f t="shared" si="218"/>
        <v>0.18913553510196715</v>
      </c>
      <c r="NI20" s="16">
        <f t="shared" si="218"/>
        <v>0.18142237396438585</v>
      </c>
      <c r="NJ20" s="16">
        <f t="shared" si="218"/>
        <v>0.15712995786235034</v>
      </c>
      <c r="NK20" s="16">
        <f t="shared" si="218"/>
        <v>0.20865339394889482</v>
      </c>
      <c r="NL20" s="16">
        <f t="shared" si="218"/>
        <v>0.19581124818237253</v>
      </c>
      <c r="NM20" s="16">
        <f t="shared" si="218"/>
        <v>0.18401334295885091</v>
      </c>
      <c r="NN20" s="16">
        <f t="shared" si="218"/>
        <v>0.18815527716543901</v>
      </c>
      <c r="NO20" s="16">
        <f t="shared" si="218"/>
        <v>0.19750477624037516</v>
      </c>
      <c r="NP20" s="16">
        <f t="shared" si="218"/>
        <v>0.17512274959083471</v>
      </c>
      <c r="NQ20" s="16">
        <f t="shared" si="218"/>
        <v>0.15782711114283673</v>
      </c>
      <c r="NR20" s="16">
        <f t="shared" si="218"/>
        <v>0.15248314421970072</v>
      </c>
      <c r="NS20" s="16">
        <f t="shared" si="218"/>
        <v>0.15720716312750757</v>
      </c>
      <c r="NT20" s="16">
        <f t="shared" si="218"/>
        <v>0.15443185120604475</v>
      </c>
      <c r="NU20" s="16">
        <f t="shared" si="218"/>
        <v>0.1678720445062587</v>
      </c>
      <c r="NV20" s="16">
        <f t="shared" si="218"/>
        <v>0.17420066152149946</v>
      </c>
      <c r="NW20" s="16">
        <f t="shared" si="218"/>
        <v>0.17952950887329758</v>
      </c>
      <c r="NX20" s="16">
        <f t="shared" si="218"/>
        <v>0.19971469329529243</v>
      </c>
      <c r="NY20" s="16">
        <f t="shared" si="218"/>
        <v>0.22949447606293941</v>
      </c>
      <c r="NZ20" s="16">
        <f t="shared" si="218"/>
        <v>0.23964562569213732</v>
      </c>
      <c r="OA20" s="16">
        <f t="shared" si="218"/>
        <v>0.19715743440233235</v>
      </c>
      <c r="OB20" s="16">
        <f t="shared" si="218"/>
        <v>0.19240506329113924</v>
      </c>
      <c r="OC20" s="16">
        <f t="shared" si="218"/>
        <v>0.216006216006216</v>
      </c>
      <c r="OD20" s="16">
        <f t="shared" si="218"/>
        <v>0.2433734939759036</v>
      </c>
      <c r="OE20" s="16">
        <f t="shared" si="218"/>
        <v>0.19614711033274956</v>
      </c>
      <c r="OF20" s="16">
        <f t="shared" si="218"/>
        <v>0</v>
      </c>
      <c r="OG20" s="16">
        <f t="shared" si="218"/>
        <v>0</v>
      </c>
    </row>
    <row r="21" spans="1:397">
      <c r="A21" s="13" t="s">
        <v>87</v>
      </c>
      <c r="B21" s="13">
        <v>10</v>
      </c>
      <c r="C21" s="13">
        <v>11</v>
      </c>
      <c r="D21" s="13">
        <v>7</v>
      </c>
      <c r="E21" s="13">
        <v>16</v>
      </c>
      <c r="F21" s="13">
        <v>8</v>
      </c>
      <c r="G21" s="13">
        <v>7</v>
      </c>
      <c r="H21" s="13">
        <v>8</v>
      </c>
      <c r="I21" s="13">
        <v>12</v>
      </c>
      <c r="J21" s="13">
        <v>2</v>
      </c>
      <c r="K21" s="13">
        <v>14</v>
      </c>
      <c r="L21" s="13">
        <v>14</v>
      </c>
      <c r="M21" s="13">
        <v>14</v>
      </c>
      <c r="N21" s="13">
        <v>10</v>
      </c>
      <c r="O21" s="13">
        <v>8</v>
      </c>
      <c r="P21" s="13">
        <v>14</v>
      </c>
      <c r="Q21" s="13">
        <v>13</v>
      </c>
      <c r="R21" s="13">
        <v>10</v>
      </c>
      <c r="S21" s="13">
        <v>18</v>
      </c>
      <c r="T21" s="13">
        <v>9</v>
      </c>
      <c r="U21" s="13">
        <v>19</v>
      </c>
      <c r="V21" s="13">
        <v>16</v>
      </c>
      <c r="W21" s="13">
        <v>16</v>
      </c>
      <c r="X21" s="13">
        <v>13</v>
      </c>
      <c r="Y21" s="13">
        <v>20</v>
      </c>
      <c r="Z21" s="13">
        <v>13</v>
      </c>
      <c r="AA21" s="13">
        <v>7</v>
      </c>
      <c r="AB21" s="13">
        <v>15</v>
      </c>
      <c r="AC21" s="13">
        <v>17</v>
      </c>
      <c r="AD21" s="13">
        <v>9</v>
      </c>
      <c r="AE21" s="13">
        <v>18</v>
      </c>
      <c r="AF21" s="13">
        <v>15</v>
      </c>
      <c r="AG21" s="13">
        <v>12</v>
      </c>
      <c r="AH21" s="13">
        <v>16</v>
      </c>
      <c r="AI21" s="13">
        <v>13</v>
      </c>
      <c r="AJ21" s="13">
        <v>15</v>
      </c>
      <c r="AK21" s="13">
        <v>9</v>
      </c>
      <c r="AL21" s="13">
        <v>14</v>
      </c>
      <c r="AM21" s="13">
        <v>8</v>
      </c>
      <c r="AN21" s="13">
        <v>13</v>
      </c>
      <c r="AO21" s="13">
        <v>18</v>
      </c>
      <c r="AP21" s="13">
        <v>21</v>
      </c>
      <c r="AQ21" s="13">
        <v>16</v>
      </c>
      <c r="AR21" s="13">
        <v>16</v>
      </c>
      <c r="AS21" s="13">
        <v>11</v>
      </c>
      <c r="AT21" s="13">
        <v>9</v>
      </c>
      <c r="AU21" s="13">
        <v>16</v>
      </c>
      <c r="AV21" s="13">
        <v>20</v>
      </c>
      <c r="AW21" s="13">
        <v>16</v>
      </c>
      <c r="AX21" s="13">
        <v>14</v>
      </c>
      <c r="AY21" s="13">
        <v>10</v>
      </c>
      <c r="AZ21" s="13">
        <v>16</v>
      </c>
      <c r="BA21" s="13">
        <v>17</v>
      </c>
      <c r="BB21" s="13">
        <v>12</v>
      </c>
      <c r="BC21" s="13">
        <v>15</v>
      </c>
      <c r="BD21" s="13">
        <v>10</v>
      </c>
      <c r="BE21" s="13">
        <v>12</v>
      </c>
      <c r="BF21" s="13">
        <v>7</v>
      </c>
      <c r="BG21" s="13">
        <v>11</v>
      </c>
      <c r="BH21" s="13">
        <v>14</v>
      </c>
      <c r="BI21" s="13">
        <v>13</v>
      </c>
      <c r="BJ21" s="13">
        <v>21</v>
      </c>
      <c r="BK21" s="13">
        <v>22</v>
      </c>
      <c r="BL21" s="13">
        <v>14</v>
      </c>
      <c r="BM21" s="13">
        <v>11</v>
      </c>
      <c r="BN21" s="13">
        <v>7</v>
      </c>
      <c r="BO21" s="13">
        <v>12</v>
      </c>
      <c r="BP21" s="13">
        <v>14</v>
      </c>
      <c r="BQ21" s="13">
        <v>14</v>
      </c>
      <c r="BR21" s="13">
        <v>19</v>
      </c>
      <c r="BS21" s="13">
        <v>13</v>
      </c>
      <c r="BT21" s="13">
        <v>9</v>
      </c>
      <c r="BU21" s="13">
        <v>11</v>
      </c>
      <c r="BV21" s="13">
        <v>11</v>
      </c>
      <c r="BW21" s="13">
        <v>10</v>
      </c>
      <c r="BX21" s="13">
        <v>12</v>
      </c>
      <c r="BY21" s="13">
        <v>17</v>
      </c>
      <c r="BZ21" s="13">
        <v>15</v>
      </c>
      <c r="CA21" s="13">
        <v>15</v>
      </c>
      <c r="CB21" s="13">
        <v>16</v>
      </c>
      <c r="CC21" s="13">
        <v>7</v>
      </c>
      <c r="CD21" s="13">
        <v>8</v>
      </c>
      <c r="CE21" s="13">
        <v>15</v>
      </c>
      <c r="CF21" s="13">
        <v>11</v>
      </c>
      <c r="CG21" s="13">
        <v>6</v>
      </c>
      <c r="CH21" s="13">
        <v>5</v>
      </c>
      <c r="CI21" s="13">
        <v>12</v>
      </c>
      <c r="CJ21" s="13">
        <v>5</v>
      </c>
      <c r="CK21" s="13">
        <v>20</v>
      </c>
      <c r="CL21" s="13">
        <v>9</v>
      </c>
      <c r="CM21" s="13">
        <v>14</v>
      </c>
      <c r="CN21" s="13">
        <v>9</v>
      </c>
      <c r="CO21" s="13">
        <v>17</v>
      </c>
      <c r="CP21" s="13">
        <v>12</v>
      </c>
      <c r="CQ21" s="13">
        <v>7</v>
      </c>
      <c r="CR21" s="13">
        <v>15</v>
      </c>
      <c r="CS21" s="13">
        <v>8</v>
      </c>
      <c r="CT21" s="13">
        <v>13</v>
      </c>
      <c r="CU21" s="13">
        <v>18</v>
      </c>
      <c r="CV21" s="13">
        <v>8</v>
      </c>
      <c r="CW21" s="13">
        <v>15</v>
      </c>
      <c r="CX21" s="13">
        <v>16</v>
      </c>
      <c r="CY21" s="13">
        <v>21</v>
      </c>
      <c r="CZ21" s="13">
        <v>32</v>
      </c>
      <c r="DA21" s="13">
        <v>28</v>
      </c>
      <c r="DB21" s="13">
        <v>33</v>
      </c>
      <c r="DC21" s="13">
        <v>30</v>
      </c>
      <c r="DD21" s="13">
        <v>20</v>
      </c>
      <c r="DE21" s="13">
        <v>15</v>
      </c>
      <c r="DF21" s="13">
        <v>44</v>
      </c>
      <c r="DG21" s="13">
        <v>21</v>
      </c>
      <c r="DH21" s="13">
        <v>21</v>
      </c>
      <c r="DI21" s="13">
        <v>27</v>
      </c>
      <c r="DJ21" s="13">
        <v>24</v>
      </c>
      <c r="DK21" s="13">
        <v>24</v>
      </c>
      <c r="DL21" s="13">
        <v>20</v>
      </c>
      <c r="DM21" s="13">
        <v>16</v>
      </c>
      <c r="DN21" s="13">
        <v>20</v>
      </c>
      <c r="DO21" s="13">
        <v>15</v>
      </c>
      <c r="DP21" s="13">
        <v>28</v>
      </c>
      <c r="DQ21" s="13">
        <v>18</v>
      </c>
      <c r="DR21" s="13">
        <v>14</v>
      </c>
      <c r="DS21" s="13">
        <v>15</v>
      </c>
      <c r="DT21" s="13">
        <v>19</v>
      </c>
      <c r="DU21" s="13">
        <v>13</v>
      </c>
      <c r="DV21" s="13">
        <v>13</v>
      </c>
      <c r="DW21" s="13">
        <v>13</v>
      </c>
      <c r="DX21" s="13">
        <v>24</v>
      </c>
      <c r="DY21" s="13">
        <v>10</v>
      </c>
      <c r="DZ21" s="13">
        <v>14</v>
      </c>
      <c r="EA21" s="13">
        <v>7</v>
      </c>
      <c r="EB21" s="13">
        <v>21</v>
      </c>
      <c r="EC21" s="13">
        <v>21</v>
      </c>
      <c r="ED21" s="13">
        <v>15</v>
      </c>
      <c r="EE21" s="13">
        <v>21</v>
      </c>
      <c r="EF21" s="13">
        <v>11</v>
      </c>
      <c r="EG21" s="13">
        <v>7</v>
      </c>
      <c r="EH21" s="13">
        <v>12</v>
      </c>
      <c r="EI21" s="13">
        <v>20</v>
      </c>
      <c r="EJ21" s="13">
        <v>16</v>
      </c>
      <c r="EK21" s="13">
        <v>10</v>
      </c>
      <c r="EL21" s="13">
        <v>10</v>
      </c>
      <c r="EM21" s="13">
        <v>11</v>
      </c>
      <c r="EN21" s="13">
        <v>19</v>
      </c>
      <c r="EO21" s="13">
        <v>12</v>
      </c>
      <c r="EP21" s="13">
        <v>21</v>
      </c>
      <c r="EQ21" s="13">
        <v>14</v>
      </c>
      <c r="ER21" s="13">
        <v>15</v>
      </c>
      <c r="ES21" s="13">
        <v>8</v>
      </c>
      <c r="ET21" s="13">
        <v>7</v>
      </c>
      <c r="EU21" s="13">
        <v>10</v>
      </c>
      <c r="EV21" s="13">
        <v>6</v>
      </c>
      <c r="EW21" s="13">
        <v>12</v>
      </c>
      <c r="EX21" s="13">
        <v>10</v>
      </c>
      <c r="EY21" s="13">
        <v>14</v>
      </c>
      <c r="EZ21" s="13">
        <v>32</v>
      </c>
      <c r="FA21" s="13">
        <v>9</v>
      </c>
      <c r="FB21" s="13">
        <v>12</v>
      </c>
      <c r="FC21" s="13">
        <v>8</v>
      </c>
      <c r="FD21" s="13">
        <v>10</v>
      </c>
      <c r="FE21" s="13">
        <v>10</v>
      </c>
      <c r="FF21" s="13">
        <v>6</v>
      </c>
      <c r="FG21" s="13">
        <v>15</v>
      </c>
      <c r="FH21" s="13">
        <v>7</v>
      </c>
      <c r="FI21" s="13">
        <v>2</v>
      </c>
      <c r="FJ21" s="13">
        <v>10</v>
      </c>
      <c r="FK21" s="13">
        <v>12</v>
      </c>
      <c r="FL21" s="13">
        <v>10</v>
      </c>
      <c r="FM21" s="13">
        <v>10</v>
      </c>
      <c r="FN21" s="13">
        <v>25</v>
      </c>
      <c r="FO21" s="13">
        <v>11</v>
      </c>
      <c r="FP21" s="13">
        <v>8</v>
      </c>
      <c r="FQ21" s="13">
        <v>10</v>
      </c>
      <c r="FR21" s="13">
        <v>17</v>
      </c>
      <c r="FS21" s="13">
        <v>9</v>
      </c>
      <c r="FT21" s="13">
        <v>10</v>
      </c>
      <c r="FU21" s="13">
        <v>9</v>
      </c>
      <c r="FV21" s="13">
        <v>8</v>
      </c>
      <c r="FW21" s="13">
        <v>15</v>
      </c>
      <c r="FX21" s="13">
        <v>14</v>
      </c>
      <c r="FY21" s="13">
        <v>16</v>
      </c>
      <c r="FZ21" s="13">
        <v>12</v>
      </c>
      <c r="GA21" s="13">
        <v>22</v>
      </c>
      <c r="GB21" s="13">
        <v>22</v>
      </c>
      <c r="GC21" s="13">
        <v>7</v>
      </c>
      <c r="GD21" s="13">
        <v>17</v>
      </c>
      <c r="GE21" s="13">
        <v>22</v>
      </c>
      <c r="GF21" s="13">
        <v>22</v>
      </c>
      <c r="GG21" s="13">
        <v>15</v>
      </c>
      <c r="GH21" s="13">
        <v>14</v>
      </c>
      <c r="GI21" s="13">
        <v>22</v>
      </c>
      <c r="GJ21" s="13">
        <v>11</v>
      </c>
      <c r="GK21" s="13">
        <v>16</v>
      </c>
      <c r="GL21" s="13">
        <v>31</v>
      </c>
      <c r="GM21" s="13">
        <v>35</v>
      </c>
      <c r="GN21" s="13">
        <v>8</v>
      </c>
      <c r="GO21" s="13">
        <v>6</v>
      </c>
      <c r="GP21" s="13">
        <v>10</v>
      </c>
      <c r="GQ21" s="13">
        <v>7</v>
      </c>
      <c r="GR21" s="13">
        <v>5</v>
      </c>
      <c r="GS21" s="13">
        <v>6</v>
      </c>
      <c r="GT21" s="13">
        <v>7</v>
      </c>
      <c r="GU21" s="13">
        <v>16</v>
      </c>
      <c r="GV21" s="13">
        <v>6</v>
      </c>
      <c r="GW21" s="13">
        <v>4</v>
      </c>
      <c r="GX21" s="13">
        <v>3</v>
      </c>
      <c r="GY21" s="13">
        <v>3</v>
      </c>
      <c r="GZ21" s="13">
        <v>4</v>
      </c>
      <c r="HA21" s="13">
        <v>4</v>
      </c>
      <c r="HB21" s="13">
        <v>11</v>
      </c>
      <c r="HC21" s="13">
        <v>5</v>
      </c>
      <c r="HD21" s="13">
        <v>6</v>
      </c>
      <c r="HE21" s="13">
        <v>3</v>
      </c>
      <c r="HF21" s="13">
        <v>5</v>
      </c>
      <c r="HG21" s="13">
        <v>3</v>
      </c>
      <c r="HH21" s="13">
        <v>13</v>
      </c>
      <c r="HI21" s="13">
        <v>3</v>
      </c>
      <c r="HJ21" s="13">
        <v>6</v>
      </c>
      <c r="HK21" s="13">
        <v>9</v>
      </c>
      <c r="HL21" s="13">
        <v>1</v>
      </c>
      <c r="HM21" s="13">
        <v>6</v>
      </c>
      <c r="HN21" s="13">
        <v>3</v>
      </c>
      <c r="HO21" s="13">
        <v>8</v>
      </c>
      <c r="HP21" s="13">
        <v>7</v>
      </c>
      <c r="HQ21" s="13">
        <v>2</v>
      </c>
      <c r="HR21" s="13">
        <v>4</v>
      </c>
      <c r="HS21" s="13">
        <v>9</v>
      </c>
      <c r="HT21" s="13">
        <v>7</v>
      </c>
      <c r="HU21" s="13">
        <v>8</v>
      </c>
      <c r="HV21" s="13">
        <v>3</v>
      </c>
      <c r="HW21" s="13">
        <v>6</v>
      </c>
      <c r="HX21" s="13">
        <v>2</v>
      </c>
      <c r="HY21" s="13">
        <v>3</v>
      </c>
      <c r="HZ21" s="13">
        <v>2</v>
      </c>
      <c r="IA21" s="13">
        <v>0</v>
      </c>
      <c r="IB21" s="13">
        <v>11</v>
      </c>
      <c r="IC21" s="13">
        <v>5</v>
      </c>
      <c r="ID21" s="13">
        <v>3</v>
      </c>
      <c r="IE21" s="13">
        <v>4</v>
      </c>
      <c r="IF21" s="13">
        <v>2</v>
      </c>
      <c r="IG21" s="13">
        <v>5</v>
      </c>
      <c r="IH21" s="13">
        <v>3</v>
      </c>
      <c r="II21" s="13">
        <v>9</v>
      </c>
      <c r="IJ21" s="13">
        <v>7</v>
      </c>
      <c r="IK21" s="13">
        <v>1</v>
      </c>
      <c r="IL21" s="13">
        <v>4</v>
      </c>
      <c r="IM21" s="13">
        <v>4</v>
      </c>
      <c r="IN21" s="13">
        <v>4</v>
      </c>
      <c r="IO21" s="13">
        <v>8</v>
      </c>
      <c r="IP21" s="13">
        <v>8</v>
      </c>
      <c r="IQ21" s="13">
        <v>10</v>
      </c>
      <c r="IR21" s="13">
        <v>19</v>
      </c>
      <c r="IS21" s="13">
        <v>5</v>
      </c>
      <c r="IT21" s="13">
        <v>6</v>
      </c>
      <c r="IU21" s="13">
        <v>11</v>
      </c>
      <c r="IV21" s="13">
        <v>3</v>
      </c>
      <c r="IW21" s="13">
        <v>3</v>
      </c>
      <c r="IX21" s="13">
        <v>4</v>
      </c>
      <c r="IY21" s="13">
        <v>5</v>
      </c>
      <c r="IZ21" s="13">
        <v>3</v>
      </c>
      <c r="JA21" s="13">
        <v>5</v>
      </c>
      <c r="JB21" s="13">
        <v>1</v>
      </c>
      <c r="JC21" s="13">
        <v>4</v>
      </c>
      <c r="JD21" s="13">
        <v>5</v>
      </c>
      <c r="JE21" s="13">
        <v>16</v>
      </c>
      <c r="JF21" s="13">
        <v>2</v>
      </c>
      <c r="JG21" s="13">
        <v>4</v>
      </c>
      <c r="JH21" s="13">
        <v>0</v>
      </c>
      <c r="JI21" s="13">
        <v>2</v>
      </c>
      <c r="JJ21" s="13">
        <v>1</v>
      </c>
      <c r="JK21" s="13">
        <v>7</v>
      </c>
      <c r="JL21" s="13">
        <v>11</v>
      </c>
      <c r="JM21" s="13">
        <v>2</v>
      </c>
      <c r="JN21" s="13">
        <v>0</v>
      </c>
      <c r="JO21" s="13">
        <v>2</v>
      </c>
      <c r="JP21" s="13">
        <v>1</v>
      </c>
      <c r="JQ21" s="13">
        <v>1</v>
      </c>
      <c r="JR21" s="13">
        <v>3</v>
      </c>
      <c r="JS21" s="13">
        <v>4</v>
      </c>
      <c r="JT21" s="13">
        <v>2</v>
      </c>
      <c r="JU21" s="13">
        <v>6</v>
      </c>
      <c r="JV21" s="13">
        <v>0</v>
      </c>
      <c r="JW21" s="13">
        <v>0</v>
      </c>
      <c r="JX21" s="13">
        <v>1</v>
      </c>
      <c r="JY21" s="13">
        <v>1</v>
      </c>
      <c r="JZ21" s="13">
        <v>7</v>
      </c>
      <c r="KA21" s="13">
        <v>2</v>
      </c>
      <c r="KB21" s="13">
        <v>1</v>
      </c>
      <c r="KC21" s="13">
        <v>0</v>
      </c>
      <c r="KD21" s="13">
        <v>2</v>
      </c>
      <c r="KE21" s="13">
        <v>2</v>
      </c>
      <c r="KF21" s="13">
        <v>1</v>
      </c>
      <c r="KG21" s="13">
        <v>3</v>
      </c>
      <c r="KH21" s="13">
        <v>1</v>
      </c>
      <c r="KI21" s="13">
        <v>1</v>
      </c>
      <c r="KJ21" s="13">
        <v>6</v>
      </c>
      <c r="KK21" s="13">
        <v>4</v>
      </c>
      <c r="KL21" s="13">
        <v>21</v>
      </c>
      <c r="KM21" s="13">
        <v>3</v>
      </c>
      <c r="KN21" s="13">
        <v>2</v>
      </c>
      <c r="KO21" s="13">
        <v>5</v>
      </c>
      <c r="KP21" s="13">
        <v>11</v>
      </c>
      <c r="KQ21" s="13">
        <v>2</v>
      </c>
      <c r="KR21" s="13">
        <v>6</v>
      </c>
      <c r="KS21" s="13">
        <v>23</v>
      </c>
      <c r="KT21" s="13">
        <v>4</v>
      </c>
      <c r="KU21" s="13">
        <v>8</v>
      </c>
      <c r="KV21" s="13">
        <v>9</v>
      </c>
      <c r="KW21" s="13">
        <v>17</v>
      </c>
      <c r="KX21" s="13">
        <v>15</v>
      </c>
      <c r="KY21" s="13">
        <v>34</v>
      </c>
      <c r="KZ21" s="13">
        <v>36</v>
      </c>
      <c r="LA21" s="13">
        <v>86</v>
      </c>
      <c r="LB21" s="13">
        <v>98</v>
      </c>
      <c r="LC21" s="13">
        <v>97</v>
      </c>
      <c r="LD21" s="13">
        <v>42</v>
      </c>
      <c r="LE21" s="13">
        <v>38</v>
      </c>
      <c r="LF21" s="13">
        <v>61</v>
      </c>
      <c r="LG21" s="13">
        <v>59</v>
      </c>
      <c r="LH21" s="13">
        <v>32</v>
      </c>
      <c r="LI21" s="13">
        <v>38</v>
      </c>
      <c r="LJ21" s="13">
        <v>25</v>
      </c>
      <c r="LK21" s="13">
        <v>18</v>
      </c>
      <c r="LL21" s="13">
        <v>29</v>
      </c>
      <c r="LM21" s="13">
        <v>35</v>
      </c>
      <c r="LN21" s="13">
        <v>35</v>
      </c>
      <c r="LO21" s="13">
        <v>48</v>
      </c>
      <c r="LP21" s="13">
        <v>30</v>
      </c>
      <c r="LQ21" s="13">
        <v>44</v>
      </c>
      <c r="LR21" s="13">
        <v>54</v>
      </c>
      <c r="LS21" s="13">
        <v>54</v>
      </c>
      <c r="LT21" s="13">
        <v>67</v>
      </c>
      <c r="LU21" s="13">
        <v>47</v>
      </c>
      <c r="LV21" s="13">
        <v>74</v>
      </c>
      <c r="LW21" s="13">
        <v>39</v>
      </c>
      <c r="LX21" s="13">
        <v>45</v>
      </c>
      <c r="LY21" s="13">
        <v>41</v>
      </c>
      <c r="LZ21" s="13">
        <v>39</v>
      </c>
      <c r="MA21" s="13">
        <v>34</v>
      </c>
      <c r="MB21" s="13">
        <v>12</v>
      </c>
      <c r="MC21" s="13">
        <v>20</v>
      </c>
      <c r="MD21" s="13">
        <v>12</v>
      </c>
      <c r="ME21" s="13">
        <v>16</v>
      </c>
      <c r="MF21" s="13">
        <v>7</v>
      </c>
      <c r="MG21" s="13">
        <v>3</v>
      </c>
      <c r="MH21" s="13">
        <v>6</v>
      </c>
      <c r="MI21" s="13">
        <v>10</v>
      </c>
      <c r="MJ21" s="13">
        <v>2</v>
      </c>
      <c r="MK21" s="13">
        <v>4</v>
      </c>
      <c r="ML21" s="13">
        <v>3</v>
      </c>
      <c r="MM21" s="13">
        <v>24</v>
      </c>
      <c r="MN21" s="13">
        <v>16</v>
      </c>
      <c r="MO21" s="19">
        <v>2</v>
      </c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16"/>
      <c r="NI21" s="16"/>
      <c r="NJ21" s="16"/>
      <c r="NK21" s="16"/>
      <c r="NL21" s="16"/>
      <c r="NM21" s="16"/>
      <c r="NN21" s="16"/>
      <c r="NO21" s="16"/>
      <c r="NP21" s="16"/>
      <c r="NQ21" s="16"/>
      <c r="NR21" s="16"/>
      <c r="NS21" s="16"/>
      <c r="NT21" s="16"/>
      <c r="NU21" s="16"/>
      <c r="NV21" s="16"/>
      <c r="NW21" s="16"/>
      <c r="NX21" s="16"/>
      <c r="NY21" s="16"/>
      <c r="NZ21" s="16"/>
      <c r="OA21" s="16"/>
      <c r="OB21" s="16"/>
      <c r="OC21" s="16"/>
      <c r="OD21" s="16"/>
      <c r="OE21" s="16"/>
      <c r="OF21" s="16"/>
      <c r="OG21" s="16"/>
    </row>
    <row r="22" spans="1:397">
      <c r="A22" s="13" t="s">
        <v>88</v>
      </c>
      <c r="B22" s="13">
        <v>4913</v>
      </c>
      <c r="C22" s="13">
        <v>4903</v>
      </c>
      <c r="D22" s="13">
        <v>4892</v>
      </c>
      <c r="E22" s="13">
        <v>4885</v>
      </c>
      <c r="F22" s="13">
        <v>4869</v>
      </c>
      <c r="G22" s="13">
        <v>4861</v>
      </c>
      <c r="H22" s="13">
        <v>4854</v>
      </c>
      <c r="I22" s="13">
        <v>4846</v>
      </c>
      <c r="J22" s="13">
        <v>4834</v>
      </c>
      <c r="K22" s="13">
        <v>4832</v>
      </c>
      <c r="L22" s="13">
        <v>4818</v>
      </c>
      <c r="M22" s="13">
        <v>4804</v>
      </c>
      <c r="N22" s="13">
        <v>4790</v>
      </c>
      <c r="O22" s="13">
        <v>4780</v>
      </c>
      <c r="P22" s="13">
        <v>4772</v>
      </c>
      <c r="Q22" s="13">
        <v>4758</v>
      </c>
      <c r="R22" s="13">
        <v>4745</v>
      </c>
      <c r="S22" s="13">
        <v>4735</v>
      </c>
      <c r="T22" s="13">
        <v>4717</v>
      </c>
      <c r="U22" s="13">
        <v>4708</v>
      </c>
      <c r="V22" s="13">
        <v>4689</v>
      </c>
      <c r="W22" s="13">
        <v>4673</v>
      </c>
      <c r="X22" s="13">
        <v>4657</v>
      </c>
      <c r="Y22" s="13">
        <v>4644</v>
      </c>
      <c r="Z22" s="13">
        <v>4624</v>
      </c>
      <c r="AA22" s="13">
        <v>4611</v>
      </c>
      <c r="AB22" s="13">
        <v>4604</v>
      </c>
      <c r="AC22" s="13">
        <v>4589</v>
      </c>
      <c r="AD22" s="13">
        <v>4572</v>
      </c>
      <c r="AE22" s="13">
        <v>4563</v>
      </c>
      <c r="AF22" s="13">
        <v>4545</v>
      </c>
      <c r="AG22" s="13">
        <v>4530</v>
      </c>
      <c r="AH22" s="13">
        <v>4518</v>
      </c>
      <c r="AI22" s="13">
        <v>4502</v>
      </c>
      <c r="AJ22" s="13">
        <v>4489</v>
      </c>
      <c r="AK22" s="13">
        <v>4474</v>
      </c>
      <c r="AL22" s="13">
        <v>4465</v>
      </c>
      <c r="AM22" s="13">
        <v>4451</v>
      </c>
      <c r="AN22" s="13">
        <v>4443</v>
      </c>
      <c r="AO22" s="13">
        <v>4430</v>
      </c>
      <c r="AP22" s="13">
        <v>4412</v>
      </c>
      <c r="AQ22" s="13">
        <v>4391</v>
      </c>
      <c r="AR22" s="13">
        <v>4375</v>
      </c>
      <c r="AS22" s="13">
        <v>4359</v>
      </c>
      <c r="AT22" s="13">
        <v>4348</v>
      </c>
      <c r="AU22" s="13">
        <v>4339</v>
      </c>
      <c r="AV22" s="13">
        <v>4323</v>
      </c>
      <c r="AW22" s="13">
        <v>4303</v>
      </c>
      <c r="AX22" s="13">
        <v>4287</v>
      </c>
      <c r="AY22" s="13">
        <v>4273</v>
      </c>
      <c r="AZ22" s="13">
        <v>4263</v>
      </c>
      <c r="BA22" s="13">
        <v>4247</v>
      </c>
      <c r="BB22" s="13">
        <v>4230</v>
      </c>
      <c r="BC22" s="13">
        <v>4218</v>
      </c>
      <c r="BD22" s="13">
        <v>4203</v>
      </c>
      <c r="BE22" s="13">
        <v>4193</v>
      </c>
      <c r="BF22" s="13">
        <v>4181</v>
      </c>
      <c r="BG22" s="13">
        <v>4174</v>
      </c>
      <c r="BH22" s="13">
        <v>4163</v>
      </c>
      <c r="BI22" s="13">
        <v>4149</v>
      </c>
      <c r="BJ22" s="13">
        <v>4136</v>
      </c>
      <c r="BK22" s="13">
        <v>4115</v>
      </c>
      <c r="BL22" s="13">
        <v>4093</v>
      </c>
      <c r="BM22" s="13">
        <v>4079</v>
      </c>
      <c r="BN22" s="13">
        <v>4068</v>
      </c>
      <c r="BO22" s="13">
        <v>4061</v>
      </c>
      <c r="BP22" s="13">
        <v>4049</v>
      </c>
      <c r="BQ22" s="13">
        <v>4035</v>
      </c>
      <c r="BR22" s="13">
        <v>4021</v>
      </c>
      <c r="BS22" s="13">
        <v>4002</v>
      </c>
      <c r="BT22" s="13">
        <v>3989</v>
      </c>
      <c r="BU22" s="13">
        <v>3980</v>
      </c>
      <c r="BV22" s="13">
        <v>3969</v>
      </c>
      <c r="BW22" s="13">
        <v>3958</v>
      </c>
      <c r="BX22" s="13">
        <v>3948</v>
      </c>
      <c r="BY22" s="13">
        <v>3936</v>
      </c>
      <c r="BZ22" s="13">
        <v>3919</v>
      </c>
      <c r="CA22" s="13">
        <v>3904</v>
      </c>
      <c r="CB22" s="13">
        <v>3889</v>
      </c>
      <c r="CC22" s="13">
        <v>3873</v>
      </c>
      <c r="CD22" s="13">
        <v>3866</v>
      </c>
      <c r="CE22" s="13">
        <v>3858</v>
      </c>
      <c r="CF22" s="13">
        <v>3843</v>
      </c>
      <c r="CG22" s="13">
        <v>3832</v>
      </c>
      <c r="CH22" s="13">
        <v>3826</v>
      </c>
      <c r="CI22" s="13">
        <v>3821</v>
      </c>
      <c r="CJ22" s="13">
        <v>3809</v>
      </c>
      <c r="CK22" s="13">
        <v>3804</v>
      </c>
      <c r="CL22" s="13">
        <v>3784</v>
      </c>
      <c r="CM22" s="13">
        <v>3775</v>
      </c>
      <c r="CN22" s="13">
        <v>3761</v>
      </c>
      <c r="CO22" s="13">
        <v>3752</v>
      </c>
      <c r="CP22" s="13">
        <v>3735</v>
      </c>
      <c r="CQ22" s="13">
        <v>3723</v>
      </c>
      <c r="CR22" s="13">
        <v>3716</v>
      </c>
      <c r="CS22" s="13">
        <v>3701</v>
      </c>
      <c r="CT22" s="13">
        <v>3693</v>
      </c>
      <c r="CU22" s="13">
        <v>3680</v>
      </c>
      <c r="CV22" s="13">
        <v>3662</v>
      </c>
      <c r="CW22" s="13">
        <v>3654</v>
      </c>
      <c r="CX22" s="13">
        <v>3640</v>
      </c>
      <c r="CY22" s="13">
        <v>3624</v>
      </c>
      <c r="CZ22" s="13">
        <v>3603</v>
      </c>
      <c r="DA22" s="13">
        <v>3571</v>
      </c>
      <c r="DB22" s="13">
        <v>3543</v>
      </c>
      <c r="DC22" s="13">
        <v>3510</v>
      </c>
      <c r="DD22" s="13">
        <v>3480</v>
      </c>
      <c r="DE22" s="13">
        <v>3460</v>
      </c>
      <c r="DF22" s="13">
        <v>3445</v>
      </c>
      <c r="DG22" s="13">
        <v>3401</v>
      </c>
      <c r="DH22" s="13">
        <v>3380</v>
      </c>
      <c r="DI22" s="13">
        <v>3359</v>
      </c>
      <c r="DJ22" s="13">
        <v>3332</v>
      </c>
      <c r="DK22" s="13">
        <v>3308</v>
      </c>
      <c r="DL22" s="13">
        <v>3284</v>
      </c>
      <c r="DM22" s="13">
        <v>3264</v>
      </c>
      <c r="DN22" s="13">
        <v>3248</v>
      </c>
      <c r="DO22" s="13">
        <v>3228</v>
      </c>
      <c r="DP22" s="13">
        <v>3213</v>
      </c>
      <c r="DQ22" s="13">
        <v>3185</v>
      </c>
      <c r="DR22" s="13">
        <v>3167</v>
      </c>
      <c r="DS22" s="13">
        <v>3153</v>
      </c>
      <c r="DT22" s="13">
        <v>3142</v>
      </c>
      <c r="DU22" s="13">
        <v>3123</v>
      </c>
      <c r="DV22" s="13">
        <v>3110</v>
      </c>
      <c r="DW22" s="13">
        <v>3097</v>
      </c>
      <c r="DX22" s="13">
        <v>3084</v>
      </c>
      <c r="DY22" s="13">
        <v>3060</v>
      </c>
      <c r="DZ22" s="13">
        <v>3050</v>
      </c>
      <c r="EA22" s="13">
        <v>3036</v>
      </c>
      <c r="EB22" s="13">
        <v>3029</v>
      </c>
      <c r="EC22" s="13">
        <v>3008</v>
      </c>
      <c r="ED22" s="13">
        <v>2987</v>
      </c>
      <c r="EE22" s="13">
        <v>2972</v>
      </c>
      <c r="EF22" s="13">
        <v>2951</v>
      </c>
      <c r="EG22" s="13">
        <v>2940</v>
      </c>
      <c r="EH22" s="13">
        <v>2933</v>
      </c>
      <c r="EI22" s="13">
        <v>2921</v>
      </c>
      <c r="EJ22" s="13">
        <v>2901</v>
      </c>
      <c r="EK22" s="13">
        <v>2885</v>
      </c>
      <c r="EL22" s="13">
        <v>2875</v>
      </c>
      <c r="EM22" s="13">
        <v>2865</v>
      </c>
      <c r="EN22" s="13">
        <v>2854</v>
      </c>
      <c r="EO22" s="13">
        <v>2835</v>
      </c>
      <c r="EP22" s="13">
        <v>2823</v>
      </c>
      <c r="EQ22" s="13">
        <v>2802</v>
      </c>
      <c r="ER22" s="13">
        <v>2788</v>
      </c>
      <c r="ES22" s="13">
        <v>2773</v>
      </c>
      <c r="ET22" s="13">
        <v>2765</v>
      </c>
      <c r="EU22" s="13">
        <v>2758</v>
      </c>
      <c r="EV22" s="13">
        <v>2748</v>
      </c>
      <c r="EW22" s="13">
        <v>2742</v>
      </c>
      <c r="EX22" s="13">
        <v>2730</v>
      </c>
      <c r="EY22" s="13">
        <v>2720</v>
      </c>
      <c r="EZ22" s="13">
        <v>2706</v>
      </c>
      <c r="FA22" s="13">
        <v>2674</v>
      </c>
      <c r="FB22" s="13">
        <v>2665</v>
      </c>
      <c r="FC22" s="13">
        <v>2653</v>
      </c>
      <c r="FD22" s="13">
        <v>2645</v>
      </c>
      <c r="FE22" s="13">
        <v>2635</v>
      </c>
      <c r="FF22" s="13">
        <v>2625</v>
      </c>
      <c r="FG22" s="13">
        <v>2619</v>
      </c>
      <c r="FH22" s="13">
        <v>2604</v>
      </c>
      <c r="FI22" s="13">
        <v>2597</v>
      </c>
      <c r="FJ22" s="13">
        <v>2595</v>
      </c>
      <c r="FK22" s="13">
        <v>2585</v>
      </c>
      <c r="FL22" s="13">
        <v>2573</v>
      </c>
      <c r="FM22" s="13">
        <v>2563</v>
      </c>
      <c r="FN22" s="13">
        <v>2553</v>
      </c>
      <c r="FO22" s="13">
        <v>2528</v>
      </c>
      <c r="FP22" s="13">
        <v>2517</v>
      </c>
      <c r="FQ22" s="13">
        <v>2509</v>
      </c>
      <c r="FR22" s="13">
        <v>2499</v>
      </c>
      <c r="FS22" s="13">
        <v>2482</v>
      </c>
      <c r="FT22" s="13">
        <v>2473</v>
      </c>
      <c r="FU22" s="13">
        <v>2464</v>
      </c>
      <c r="FV22" s="13">
        <v>2455</v>
      </c>
      <c r="FW22" s="13">
        <v>2447</v>
      </c>
      <c r="FX22" s="13">
        <v>2432</v>
      </c>
      <c r="FY22" s="13">
        <v>2418</v>
      </c>
      <c r="FZ22" s="13">
        <v>2402</v>
      </c>
      <c r="GA22" s="13">
        <v>2390</v>
      </c>
      <c r="GB22" s="13">
        <v>2346</v>
      </c>
      <c r="GC22" s="13">
        <v>2346</v>
      </c>
      <c r="GD22" s="13">
        <v>2339</v>
      </c>
      <c r="GE22" s="13">
        <v>2322</v>
      </c>
      <c r="GF22" s="13">
        <v>2300</v>
      </c>
      <c r="GG22" s="13">
        <v>2278</v>
      </c>
      <c r="GH22" s="13">
        <v>2263</v>
      </c>
      <c r="GI22" s="13">
        <v>2249</v>
      </c>
      <c r="GJ22" s="13">
        <v>2227</v>
      </c>
      <c r="GK22" s="13">
        <v>2216</v>
      </c>
      <c r="GL22" s="13">
        <v>2200</v>
      </c>
      <c r="GM22" s="13">
        <v>2169</v>
      </c>
      <c r="GN22" s="13">
        <v>2134</v>
      </c>
      <c r="GO22" s="13">
        <v>2126</v>
      </c>
      <c r="GP22" s="13">
        <v>2120</v>
      </c>
      <c r="GQ22" s="13">
        <v>2110</v>
      </c>
      <c r="GR22" s="13">
        <v>2103</v>
      </c>
      <c r="GS22" s="13">
        <v>2098</v>
      </c>
      <c r="GT22" s="13">
        <v>2092</v>
      </c>
      <c r="GU22" s="13">
        <v>2085</v>
      </c>
      <c r="GV22" s="13">
        <v>2069</v>
      </c>
      <c r="GW22" s="13">
        <v>2063</v>
      </c>
      <c r="GX22" s="13">
        <v>2059</v>
      </c>
      <c r="GY22" s="13">
        <v>2056</v>
      </c>
      <c r="GZ22" s="13">
        <v>2053</v>
      </c>
      <c r="HA22" s="13">
        <v>2049</v>
      </c>
      <c r="HB22" s="13">
        <v>2045</v>
      </c>
      <c r="HC22" s="13">
        <v>2034</v>
      </c>
      <c r="HD22" s="13">
        <v>2029</v>
      </c>
      <c r="HE22" s="13">
        <v>2023</v>
      </c>
      <c r="HF22" s="13">
        <v>2020</v>
      </c>
      <c r="HG22" s="13">
        <v>2015</v>
      </c>
      <c r="HH22" s="13">
        <v>2012</v>
      </c>
      <c r="HI22" s="13">
        <v>2007</v>
      </c>
      <c r="HJ22" s="13">
        <v>2004</v>
      </c>
      <c r="HK22" s="13">
        <v>1998</v>
      </c>
      <c r="HL22" s="13">
        <v>1989</v>
      </c>
      <c r="HM22" s="13">
        <v>1988</v>
      </c>
      <c r="HN22" s="13">
        <v>1982</v>
      </c>
      <c r="HO22" s="13">
        <v>1979</v>
      </c>
      <c r="HP22" s="13">
        <v>1971</v>
      </c>
      <c r="HQ22" s="13">
        <v>1964</v>
      </c>
      <c r="HR22" s="13">
        <v>1962</v>
      </c>
      <c r="HS22" s="13">
        <v>1958</v>
      </c>
      <c r="HT22" s="13">
        <v>1949</v>
      </c>
      <c r="HU22" s="13">
        <v>1942</v>
      </c>
      <c r="HV22" s="13">
        <v>1934</v>
      </c>
      <c r="HW22" s="13">
        <v>1931</v>
      </c>
      <c r="HX22" s="13">
        <v>1925</v>
      </c>
      <c r="HY22" s="13">
        <v>1923</v>
      </c>
      <c r="HZ22" s="13">
        <v>1920</v>
      </c>
      <c r="IA22" s="13">
        <v>1918</v>
      </c>
      <c r="IB22" s="13">
        <v>1918</v>
      </c>
      <c r="IC22" s="13">
        <v>1907</v>
      </c>
      <c r="ID22" s="13">
        <v>1902</v>
      </c>
      <c r="IE22" s="13">
        <v>1899</v>
      </c>
      <c r="IF22" s="13">
        <v>1895</v>
      </c>
      <c r="IG22" s="13">
        <v>1893</v>
      </c>
      <c r="IH22" s="13">
        <v>1888</v>
      </c>
      <c r="II22" s="13">
        <v>1885</v>
      </c>
      <c r="IJ22" s="13">
        <v>1876</v>
      </c>
      <c r="IK22" s="13">
        <v>1869</v>
      </c>
      <c r="IL22" s="13">
        <v>1868</v>
      </c>
      <c r="IM22" s="13">
        <v>1864</v>
      </c>
      <c r="IN22" s="13">
        <v>1860</v>
      </c>
      <c r="IO22" s="13">
        <v>1856</v>
      </c>
      <c r="IP22" s="13">
        <v>1845</v>
      </c>
      <c r="IQ22" s="13">
        <v>1837</v>
      </c>
      <c r="IR22" s="13">
        <v>1827</v>
      </c>
      <c r="IS22" s="13">
        <v>1808</v>
      </c>
      <c r="IT22" s="13">
        <v>1803</v>
      </c>
      <c r="IU22" s="13">
        <v>1797</v>
      </c>
      <c r="IV22" s="13">
        <v>1786</v>
      </c>
      <c r="IW22" s="13">
        <v>1783</v>
      </c>
      <c r="IX22" s="13">
        <v>1780</v>
      </c>
      <c r="IY22" s="13">
        <v>1776</v>
      </c>
      <c r="IZ22" s="13">
        <v>1771</v>
      </c>
      <c r="JA22" s="13">
        <v>1768</v>
      </c>
      <c r="JB22" s="13">
        <v>1763</v>
      </c>
      <c r="JC22" s="13">
        <v>1762</v>
      </c>
      <c r="JD22" s="13">
        <v>1761</v>
      </c>
      <c r="JE22" s="13">
        <v>1756</v>
      </c>
      <c r="JF22" s="13">
        <v>1740</v>
      </c>
      <c r="JG22" s="13">
        <v>1738</v>
      </c>
      <c r="JH22" s="13">
        <v>1734</v>
      </c>
      <c r="JI22" s="13">
        <v>1734</v>
      </c>
      <c r="JJ22" s="13">
        <v>1732</v>
      </c>
      <c r="JK22" s="13">
        <v>1731</v>
      </c>
      <c r="JL22" s="13">
        <v>1724</v>
      </c>
      <c r="JM22" s="13">
        <v>1713</v>
      </c>
      <c r="JN22" s="13">
        <v>1711</v>
      </c>
      <c r="JO22" s="13">
        <v>1711</v>
      </c>
      <c r="JP22" s="13">
        <v>1709</v>
      </c>
      <c r="JQ22" s="13">
        <v>1708</v>
      </c>
      <c r="JR22" s="13">
        <v>1707</v>
      </c>
      <c r="JS22" s="13">
        <v>1704</v>
      </c>
      <c r="JT22" s="13">
        <v>1700</v>
      </c>
      <c r="JU22" s="13">
        <v>1698</v>
      </c>
      <c r="JV22" s="13">
        <v>1692</v>
      </c>
      <c r="JW22" s="13">
        <v>1692</v>
      </c>
      <c r="JX22" s="13">
        <v>1692</v>
      </c>
      <c r="JY22" s="13">
        <v>1691</v>
      </c>
      <c r="JZ22" s="13">
        <v>1690</v>
      </c>
      <c r="KA22" s="13">
        <v>1683</v>
      </c>
      <c r="KB22" s="13">
        <v>1681</v>
      </c>
      <c r="KC22" s="13">
        <v>1680</v>
      </c>
      <c r="KD22" s="13">
        <v>1680</v>
      </c>
      <c r="KE22" s="13">
        <v>1678</v>
      </c>
      <c r="KF22" s="13">
        <v>1676</v>
      </c>
      <c r="KG22" s="13">
        <v>1675</v>
      </c>
      <c r="KH22" s="13">
        <v>1672</v>
      </c>
      <c r="KI22" s="13">
        <v>1671</v>
      </c>
      <c r="KJ22" s="13">
        <v>1670</v>
      </c>
      <c r="KK22" s="13">
        <v>1664</v>
      </c>
      <c r="KL22" s="13">
        <v>1660</v>
      </c>
      <c r="KM22" s="13">
        <v>1639</v>
      </c>
      <c r="KN22" s="13">
        <v>1636</v>
      </c>
      <c r="KO22" s="13">
        <v>1634</v>
      </c>
      <c r="KP22" s="13">
        <v>1629</v>
      </c>
      <c r="KQ22" s="13">
        <v>1618</v>
      </c>
      <c r="KR22" s="13">
        <v>1616</v>
      </c>
      <c r="KS22" s="13">
        <v>1610</v>
      </c>
      <c r="KT22" s="13">
        <v>1587</v>
      </c>
      <c r="KU22" s="13">
        <v>1583</v>
      </c>
      <c r="KV22" s="13">
        <v>1575</v>
      </c>
      <c r="KW22" s="13">
        <v>1566</v>
      </c>
      <c r="KX22" s="13">
        <v>1549</v>
      </c>
      <c r="KY22" s="13">
        <v>1534</v>
      </c>
      <c r="KZ22" s="13">
        <v>1500</v>
      </c>
      <c r="LA22" s="13">
        <v>1464</v>
      </c>
      <c r="LB22" s="13">
        <v>1378</v>
      </c>
      <c r="LC22" s="13">
        <v>1280</v>
      </c>
      <c r="LD22" s="13">
        <v>1183</v>
      </c>
      <c r="LE22" s="13">
        <v>1141</v>
      </c>
      <c r="LF22" s="13">
        <v>1103</v>
      </c>
      <c r="LG22" s="13">
        <v>1042</v>
      </c>
      <c r="LH22" s="13">
        <v>983</v>
      </c>
      <c r="LI22" s="13">
        <v>951</v>
      </c>
      <c r="LJ22" s="13">
        <v>913</v>
      </c>
      <c r="LK22" s="13">
        <v>888</v>
      </c>
      <c r="LL22" s="13">
        <v>870</v>
      </c>
      <c r="LM22" s="13">
        <v>841</v>
      </c>
      <c r="LN22" s="13">
        <v>806</v>
      </c>
      <c r="LO22" s="13">
        <v>771</v>
      </c>
      <c r="LP22" s="13">
        <v>723</v>
      </c>
      <c r="LQ22" s="13">
        <v>693</v>
      </c>
      <c r="LR22" s="13">
        <v>649</v>
      </c>
      <c r="LS22" s="13">
        <v>595</v>
      </c>
      <c r="LT22" s="13">
        <v>541</v>
      </c>
      <c r="LU22" s="13">
        <v>474</v>
      </c>
      <c r="LV22" s="13">
        <v>427</v>
      </c>
      <c r="LW22" s="13">
        <v>353</v>
      </c>
      <c r="LX22" s="13">
        <v>314</v>
      </c>
      <c r="LY22" s="13">
        <v>269</v>
      </c>
      <c r="LZ22" s="13">
        <v>228</v>
      </c>
      <c r="MA22" s="13">
        <v>189</v>
      </c>
      <c r="MB22" s="13">
        <v>155</v>
      </c>
      <c r="MC22" s="13">
        <v>143</v>
      </c>
      <c r="MD22" s="13">
        <v>123</v>
      </c>
      <c r="ME22" s="13">
        <v>111</v>
      </c>
      <c r="MF22" s="13">
        <v>95</v>
      </c>
      <c r="MG22" s="13">
        <v>88</v>
      </c>
      <c r="MH22" s="13">
        <v>85</v>
      </c>
      <c r="MI22" s="13">
        <v>79</v>
      </c>
      <c r="MJ22" s="13">
        <v>69</v>
      </c>
      <c r="MK22" s="13">
        <v>67</v>
      </c>
      <c r="ML22" s="13">
        <v>63</v>
      </c>
      <c r="MM22" s="13">
        <v>60</v>
      </c>
      <c r="MN22" s="13">
        <v>36</v>
      </c>
      <c r="MO22" s="19">
        <v>20</v>
      </c>
      <c r="MP22" s="16"/>
      <c r="MQ22" s="16"/>
      <c r="MR22" s="16"/>
      <c r="MS22" s="16"/>
      <c r="MT22" s="16"/>
      <c r="MU22" s="16"/>
      <c r="MV22" s="16"/>
      <c r="MW22" s="16"/>
      <c r="MX22" s="16"/>
      <c r="MY22" s="16"/>
      <c r="MZ22" s="16"/>
      <c r="NA22" s="16"/>
      <c r="NB22" s="16"/>
      <c r="NC22" s="16"/>
      <c r="ND22" s="16"/>
      <c r="NE22" s="16"/>
      <c r="NF22" s="16"/>
      <c r="NG22" s="16"/>
      <c r="NH22" s="16"/>
      <c r="NI22" s="16"/>
      <c r="NJ22" s="16"/>
      <c r="NK22" s="16"/>
      <c r="NL22" s="16"/>
      <c r="NM22" s="16"/>
      <c r="NN22" s="16"/>
      <c r="NO22" s="16"/>
      <c r="NP22" s="16"/>
      <c r="NQ22" s="16"/>
      <c r="NR22" s="16"/>
      <c r="NS22" s="16"/>
      <c r="NT22" s="16"/>
      <c r="NU22" s="16"/>
      <c r="NV22" s="16"/>
      <c r="NW22" s="16"/>
      <c r="NX22" s="16"/>
      <c r="NY22" s="16"/>
      <c r="NZ22" s="16"/>
      <c r="OA22" s="16"/>
      <c r="OB22" s="16"/>
      <c r="OC22" s="16"/>
      <c r="OD22" s="16"/>
      <c r="OE22" s="16"/>
      <c r="OF22" s="16"/>
      <c r="OG22" s="16"/>
    </row>
    <row r="23" spans="1:397">
      <c r="A23" s="13" t="s">
        <v>90</v>
      </c>
      <c r="B23" s="13">
        <f t="shared" ref="B23:J23" si="219">B16-C16</f>
        <v>367</v>
      </c>
      <c r="C23" s="13">
        <f t="shared" si="219"/>
        <v>196</v>
      </c>
      <c r="D23" s="13">
        <f t="shared" si="219"/>
        <v>146</v>
      </c>
      <c r="E23" s="13">
        <f t="shared" si="219"/>
        <v>342</v>
      </c>
      <c r="F23" s="13">
        <f t="shared" si="219"/>
        <v>109</v>
      </c>
      <c r="G23" s="13">
        <f t="shared" si="219"/>
        <v>727</v>
      </c>
      <c r="H23" s="13">
        <f t="shared" si="219"/>
        <v>325</v>
      </c>
      <c r="I23" s="13">
        <f t="shared" si="219"/>
        <v>367</v>
      </c>
      <c r="J23" s="13">
        <f t="shared" si="219"/>
        <v>405</v>
      </c>
      <c r="K23" s="13">
        <f t="shared" ref="K23" si="220">K16-L16</f>
        <v>330</v>
      </c>
      <c r="L23" s="13">
        <f t="shared" ref="K23:BE23" si="221">L16-M16</f>
        <v>530</v>
      </c>
      <c r="M23" s="13">
        <f t="shared" si="221"/>
        <v>805</v>
      </c>
      <c r="N23" s="13">
        <f t="shared" si="221"/>
        <v>564</v>
      </c>
      <c r="O23" s="13">
        <f t="shared" si="221"/>
        <v>719</v>
      </c>
      <c r="P23" s="13">
        <f t="shared" si="221"/>
        <v>611</v>
      </c>
      <c r="Q23" s="13">
        <f t="shared" si="221"/>
        <v>642</v>
      </c>
      <c r="R23" s="13">
        <f t="shared" si="221"/>
        <v>716</v>
      </c>
      <c r="S23" s="13">
        <f t="shared" si="221"/>
        <v>735</v>
      </c>
      <c r="T23" s="13">
        <f t="shared" si="221"/>
        <v>580</v>
      </c>
      <c r="U23" s="13">
        <f t="shared" si="221"/>
        <v>1146</v>
      </c>
      <c r="V23" s="13">
        <f t="shared" si="221"/>
        <v>1717</v>
      </c>
      <c r="W23" s="13">
        <f t="shared" si="221"/>
        <v>920</v>
      </c>
      <c r="X23" s="13">
        <f t="shared" si="221"/>
        <v>1355</v>
      </c>
      <c r="Y23" s="13">
        <f t="shared" si="221"/>
        <v>2978</v>
      </c>
      <c r="Z23" s="13">
        <f t="shared" si="221"/>
        <v>1451</v>
      </c>
      <c r="AA23" s="13">
        <f t="shared" si="221"/>
        <v>1826</v>
      </c>
      <c r="AB23" s="13">
        <f t="shared" si="221"/>
        <v>2903</v>
      </c>
      <c r="AC23" s="13">
        <f t="shared" si="221"/>
        <v>2455</v>
      </c>
      <c r="AD23" s="13">
        <f t="shared" si="221"/>
        <v>1985</v>
      </c>
      <c r="AE23" s="13">
        <f t="shared" si="221"/>
        <v>3168</v>
      </c>
      <c r="AF23" s="13">
        <f t="shared" si="221"/>
        <v>1747</v>
      </c>
      <c r="AG23" s="13">
        <f t="shared" si="221"/>
        <v>2381</v>
      </c>
      <c r="AH23" s="13">
        <f t="shared" si="221"/>
        <v>1604</v>
      </c>
      <c r="AI23" s="13">
        <f t="shared" si="221"/>
        <v>2037</v>
      </c>
      <c r="AJ23" s="13">
        <f t="shared" si="221"/>
        <v>2552</v>
      </c>
      <c r="AK23" s="13">
        <f t="shared" si="221"/>
        <v>2437</v>
      </c>
      <c r="AL23" s="13">
        <f t="shared" si="221"/>
        <v>1744</v>
      </c>
      <c r="AM23" s="13">
        <f t="shared" si="221"/>
        <v>2901</v>
      </c>
      <c r="AN23" s="13">
        <f t="shared" si="221"/>
        <v>1751</v>
      </c>
      <c r="AO23" s="13">
        <f t="shared" si="221"/>
        <v>980</v>
      </c>
      <c r="AP23" s="13">
        <f t="shared" si="221"/>
        <v>1272</v>
      </c>
      <c r="AQ23" s="13">
        <f t="shared" si="221"/>
        <v>2057</v>
      </c>
      <c r="AR23" s="13">
        <f t="shared" si="221"/>
        <v>5591</v>
      </c>
      <c r="AS23" s="13">
        <f t="shared" si="221"/>
        <v>2546</v>
      </c>
      <c r="AT23" s="13">
        <f t="shared" si="221"/>
        <v>1763</v>
      </c>
      <c r="AU23" s="13">
        <f t="shared" si="221"/>
        <v>1408</v>
      </c>
      <c r="AV23" s="13">
        <f t="shared" si="221"/>
        <v>1965</v>
      </c>
      <c r="AW23" s="13">
        <f t="shared" si="221"/>
        <v>826</v>
      </c>
      <c r="AX23" s="13">
        <f t="shared" si="221"/>
        <v>1141</v>
      </c>
      <c r="AY23" s="13">
        <f t="shared" si="221"/>
        <v>978</v>
      </c>
      <c r="AZ23" s="13">
        <f t="shared" si="221"/>
        <v>987</v>
      </c>
      <c r="BA23" s="13">
        <f t="shared" si="221"/>
        <v>1341</v>
      </c>
      <c r="BB23" s="13">
        <f t="shared" si="221"/>
        <v>670</v>
      </c>
      <c r="BC23" s="13">
        <f t="shared" si="221"/>
        <v>565</v>
      </c>
      <c r="BD23" s="13">
        <f t="shared" ref="BD23:BF23" si="222">BD16-BE16</f>
        <v>470</v>
      </c>
      <c r="BE23" s="13">
        <f t="shared" si="221"/>
        <v>2792</v>
      </c>
      <c r="BF23" s="13">
        <f t="shared" si="222"/>
        <v>3281</v>
      </c>
      <c r="BG23" s="13">
        <f t="shared" ref="BG23:BO23" si="223">BG16-BH16</f>
        <v>539</v>
      </c>
      <c r="BH23" s="13">
        <f t="shared" si="223"/>
        <v>566</v>
      </c>
      <c r="BI23" s="13">
        <f t="shared" si="223"/>
        <v>1503</v>
      </c>
      <c r="BJ23" s="13">
        <f t="shared" si="223"/>
        <v>791</v>
      </c>
      <c r="BK23" s="13">
        <f t="shared" si="223"/>
        <v>511</v>
      </c>
      <c r="BL23" s="13">
        <f t="shared" si="223"/>
        <v>397</v>
      </c>
      <c r="BM23" s="13">
        <f t="shared" si="223"/>
        <v>716</v>
      </c>
      <c r="BN23" s="13">
        <f t="shared" si="223"/>
        <v>252</v>
      </c>
      <c r="BO23" s="13">
        <f t="shared" si="223"/>
        <v>775</v>
      </c>
      <c r="BP23" s="13">
        <f t="shared" ref="BP23" si="224">BP16-BQ16</f>
        <v>709</v>
      </c>
      <c r="BQ23" s="13">
        <f t="shared" ref="BQ23" si="225">BQ16-BR16</f>
        <v>619</v>
      </c>
      <c r="BR23" s="13">
        <f t="shared" ref="BR23:EP23" si="226">BR16-BS16</f>
        <v>536</v>
      </c>
      <c r="BS23" s="13">
        <f t="shared" si="226"/>
        <v>819</v>
      </c>
      <c r="BT23" s="13">
        <f t="shared" si="226"/>
        <v>267</v>
      </c>
      <c r="BU23" s="13">
        <f t="shared" si="226"/>
        <v>620</v>
      </c>
      <c r="BV23" s="13">
        <f t="shared" si="226"/>
        <v>470</v>
      </c>
      <c r="BW23" s="13">
        <f t="shared" si="226"/>
        <v>657</v>
      </c>
      <c r="BX23" s="13">
        <f t="shared" si="226"/>
        <v>590</v>
      </c>
      <c r="BY23" s="13">
        <f t="shared" si="226"/>
        <v>362</v>
      </c>
      <c r="BZ23" s="13">
        <f t="shared" si="226"/>
        <v>471</v>
      </c>
      <c r="CA23" s="13">
        <f t="shared" si="226"/>
        <v>499</v>
      </c>
      <c r="CB23" s="13">
        <f t="shared" si="226"/>
        <v>605</v>
      </c>
      <c r="CC23" s="13">
        <f t="shared" si="226"/>
        <v>956</v>
      </c>
      <c r="CD23" s="13">
        <f t="shared" si="226"/>
        <v>278</v>
      </c>
      <c r="CE23" s="13">
        <f t="shared" si="226"/>
        <v>591</v>
      </c>
      <c r="CF23" s="13">
        <f t="shared" si="226"/>
        <v>684</v>
      </c>
      <c r="CG23" s="13">
        <f t="shared" si="226"/>
        <v>351</v>
      </c>
      <c r="CH23" s="13">
        <f t="shared" si="226"/>
        <v>353</v>
      </c>
      <c r="CI23" s="13">
        <f t="shared" si="226"/>
        <v>127</v>
      </c>
      <c r="CJ23" s="13">
        <f t="shared" si="226"/>
        <v>250</v>
      </c>
      <c r="CK23" s="13">
        <f t="shared" si="226"/>
        <v>820</v>
      </c>
      <c r="CL23" s="13">
        <f t="shared" si="226"/>
        <v>587</v>
      </c>
      <c r="CM23" s="13">
        <f t="shared" si="226"/>
        <v>591</v>
      </c>
      <c r="CN23" s="13">
        <f t="shared" si="226"/>
        <v>486</v>
      </c>
      <c r="CO23" s="13">
        <f t="shared" si="226"/>
        <v>354</v>
      </c>
      <c r="CP23" s="13">
        <f t="shared" si="226"/>
        <v>241</v>
      </c>
      <c r="CQ23" s="13">
        <f t="shared" si="226"/>
        <v>360</v>
      </c>
      <c r="CR23" s="13">
        <f t="shared" si="226"/>
        <v>350</v>
      </c>
      <c r="CS23" s="13">
        <f t="shared" si="226"/>
        <v>565</v>
      </c>
      <c r="CT23" s="13">
        <f t="shared" si="226"/>
        <v>379</v>
      </c>
      <c r="CU23" s="13">
        <f t="shared" si="226"/>
        <v>568</v>
      </c>
      <c r="CV23" s="13">
        <f t="shared" si="226"/>
        <v>422</v>
      </c>
      <c r="CW23" s="13">
        <f t="shared" si="226"/>
        <v>367</v>
      </c>
      <c r="CX23" s="13">
        <f t="shared" si="226"/>
        <v>566</v>
      </c>
      <c r="CY23" s="13">
        <f t="shared" si="226"/>
        <v>1384</v>
      </c>
      <c r="CZ23" s="13">
        <f t="shared" si="226"/>
        <v>449</v>
      </c>
      <c r="DA23" s="13">
        <f t="shared" si="226"/>
        <v>1013</v>
      </c>
      <c r="DB23" s="13">
        <f t="shared" si="226"/>
        <v>1124</v>
      </c>
      <c r="DC23" s="13">
        <f t="shared" si="226"/>
        <v>1172</v>
      </c>
      <c r="DD23" s="13">
        <f t="shared" si="226"/>
        <v>322</v>
      </c>
      <c r="DE23" s="13">
        <f t="shared" si="226"/>
        <v>1481</v>
      </c>
      <c r="DF23" s="13">
        <f t="shared" si="226"/>
        <v>1610</v>
      </c>
      <c r="DG23" s="13">
        <f t="shared" si="226"/>
        <v>929</v>
      </c>
      <c r="DH23" s="13">
        <f t="shared" si="226"/>
        <v>1657</v>
      </c>
      <c r="DI23" s="13">
        <f t="shared" si="226"/>
        <v>1071</v>
      </c>
      <c r="DJ23" s="13">
        <f t="shared" si="226"/>
        <v>2822</v>
      </c>
      <c r="DK23" s="13">
        <f t="shared" si="226"/>
        <v>1935</v>
      </c>
      <c r="DL23" s="13">
        <f t="shared" si="226"/>
        <v>922</v>
      </c>
      <c r="DM23" s="13">
        <f t="shared" si="226"/>
        <v>1412</v>
      </c>
      <c r="DN23" s="13">
        <f t="shared" si="226"/>
        <v>1390</v>
      </c>
      <c r="DO23" s="13">
        <f t="shared" si="226"/>
        <v>693</v>
      </c>
      <c r="DP23" s="13">
        <f t="shared" si="226"/>
        <v>837</v>
      </c>
      <c r="DQ23" s="13">
        <f t="shared" si="226"/>
        <v>449</v>
      </c>
      <c r="DR23" s="13">
        <f t="shared" si="226"/>
        <v>540</v>
      </c>
      <c r="DS23" s="13">
        <f t="shared" si="226"/>
        <v>848</v>
      </c>
      <c r="DT23" s="13">
        <f t="shared" si="226"/>
        <v>884</v>
      </c>
      <c r="DU23" s="13">
        <f t="shared" si="226"/>
        <v>714</v>
      </c>
      <c r="DV23" s="13">
        <f t="shared" si="226"/>
        <v>569</v>
      </c>
      <c r="DW23" s="13">
        <f t="shared" si="226"/>
        <v>842</v>
      </c>
      <c r="DX23" s="13">
        <f t="shared" si="226"/>
        <v>463</v>
      </c>
      <c r="DY23" s="13">
        <f t="shared" si="226"/>
        <v>525</v>
      </c>
      <c r="DZ23" s="13">
        <f t="shared" si="226"/>
        <v>942</v>
      </c>
      <c r="EA23" s="13">
        <f t="shared" si="226"/>
        <v>712</v>
      </c>
      <c r="EB23" s="13">
        <f t="shared" si="226"/>
        <v>798</v>
      </c>
      <c r="EC23" s="13">
        <f t="shared" si="226"/>
        <v>609</v>
      </c>
      <c r="ED23" s="13">
        <f t="shared" si="226"/>
        <v>1103</v>
      </c>
      <c r="EE23" s="13">
        <f t="shared" si="226"/>
        <v>335</v>
      </c>
      <c r="EF23" s="13">
        <f t="shared" si="226"/>
        <v>398</v>
      </c>
      <c r="EG23" s="13">
        <f t="shared" si="226"/>
        <v>543</v>
      </c>
      <c r="EH23" s="13">
        <f t="shared" si="226"/>
        <v>1105</v>
      </c>
      <c r="EI23" s="13">
        <f t="shared" si="226"/>
        <v>1097</v>
      </c>
      <c r="EJ23" s="13">
        <f t="shared" si="226"/>
        <v>485</v>
      </c>
      <c r="EK23" s="13">
        <f t="shared" si="226"/>
        <v>604</v>
      </c>
      <c r="EL23" s="13">
        <f t="shared" si="226"/>
        <v>790</v>
      </c>
      <c r="EM23" s="13">
        <f t="shared" si="226"/>
        <v>427</v>
      </c>
      <c r="EN23" s="13">
        <f t="shared" si="226"/>
        <v>552</v>
      </c>
      <c r="EO23" s="13">
        <f t="shared" si="226"/>
        <v>963</v>
      </c>
      <c r="EP23" s="13">
        <f t="shared" si="226"/>
        <v>646</v>
      </c>
      <c r="EQ23" s="13">
        <f t="shared" ref="EQ23" si="227">EQ16-ER16</f>
        <v>635</v>
      </c>
      <c r="ER23" s="13">
        <f t="shared" ref="ER23:GP23" si="228">ER16-ES16</f>
        <v>786</v>
      </c>
      <c r="ES23" s="13">
        <f t="shared" si="228"/>
        <v>514</v>
      </c>
      <c r="ET23" s="13">
        <f t="shared" si="228"/>
        <v>584</v>
      </c>
      <c r="EU23" s="13">
        <f t="shared" si="228"/>
        <v>488</v>
      </c>
      <c r="EV23" s="13">
        <f t="shared" si="228"/>
        <v>841</v>
      </c>
      <c r="EW23" s="13">
        <f t="shared" si="228"/>
        <v>198</v>
      </c>
      <c r="EX23" s="13">
        <f t="shared" si="228"/>
        <v>609</v>
      </c>
      <c r="EY23" s="13">
        <f t="shared" si="228"/>
        <v>867</v>
      </c>
      <c r="EZ23" s="13">
        <f t="shared" si="228"/>
        <v>461</v>
      </c>
      <c r="FA23" s="13">
        <f t="shared" si="228"/>
        <v>648</v>
      </c>
      <c r="FB23" s="13">
        <f t="shared" si="228"/>
        <v>633</v>
      </c>
      <c r="FC23" s="13">
        <f t="shared" si="228"/>
        <v>457</v>
      </c>
      <c r="FD23" s="13">
        <f t="shared" si="228"/>
        <v>448</v>
      </c>
      <c r="FE23" s="13">
        <f t="shared" si="228"/>
        <v>892</v>
      </c>
      <c r="FF23" s="13">
        <f t="shared" si="228"/>
        <v>442</v>
      </c>
      <c r="FG23" s="13">
        <f t="shared" si="228"/>
        <v>459</v>
      </c>
      <c r="FH23" s="13">
        <f t="shared" si="228"/>
        <v>364</v>
      </c>
      <c r="FI23" s="13">
        <f t="shared" si="228"/>
        <v>390</v>
      </c>
      <c r="FJ23" s="13">
        <f t="shared" si="228"/>
        <v>932</v>
      </c>
      <c r="FK23" s="13">
        <f t="shared" si="228"/>
        <v>495</v>
      </c>
      <c r="FL23" s="13">
        <f t="shared" si="228"/>
        <v>377</v>
      </c>
      <c r="FM23" s="13">
        <f t="shared" si="228"/>
        <v>507</v>
      </c>
      <c r="FN23" s="13">
        <f t="shared" si="228"/>
        <v>828</v>
      </c>
      <c r="FO23" s="13">
        <f t="shared" si="228"/>
        <v>561</v>
      </c>
      <c r="FP23" s="13">
        <f t="shared" si="228"/>
        <v>567</v>
      </c>
      <c r="FQ23" s="13">
        <f t="shared" si="228"/>
        <v>888</v>
      </c>
      <c r="FR23" s="13">
        <f t="shared" si="228"/>
        <v>217</v>
      </c>
      <c r="FS23" s="13">
        <f t="shared" si="228"/>
        <v>202</v>
      </c>
      <c r="FT23" s="13">
        <f t="shared" si="228"/>
        <v>394</v>
      </c>
      <c r="FU23" s="13">
        <f t="shared" si="228"/>
        <v>468</v>
      </c>
      <c r="FV23" s="13">
        <f t="shared" si="228"/>
        <v>509</v>
      </c>
      <c r="FW23" s="13">
        <f t="shared" si="228"/>
        <v>794</v>
      </c>
      <c r="FX23" s="13">
        <f t="shared" si="228"/>
        <v>444</v>
      </c>
      <c r="FY23" s="13">
        <f t="shared" si="228"/>
        <v>865</v>
      </c>
      <c r="FZ23" s="13">
        <f t="shared" si="228"/>
        <v>903</v>
      </c>
      <c r="GA23" s="13">
        <f t="shared" si="228"/>
        <v>847</v>
      </c>
      <c r="GB23" s="13">
        <f t="shared" si="228"/>
        <v>494</v>
      </c>
      <c r="GC23" s="13">
        <f t="shared" si="228"/>
        <v>710</v>
      </c>
      <c r="GD23" s="13">
        <f t="shared" si="228"/>
        <v>622</v>
      </c>
      <c r="GE23" s="13">
        <f t="shared" si="228"/>
        <v>734</v>
      </c>
      <c r="GF23" s="13">
        <f t="shared" si="228"/>
        <v>792</v>
      </c>
      <c r="GG23" s="13">
        <f t="shared" si="228"/>
        <v>782</v>
      </c>
      <c r="GH23" s="13">
        <f t="shared" si="228"/>
        <v>895</v>
      </c>
      <c r="GI23" s="13">
        <f t="shared" si="228"/>
        <v>529</v>
      </c>
      <c r="GJ23" s="13">
        <f t="shared" si="228"/>
        <v>743</v>
      </c>
      <c r="GK23" s="13">
        <f t="shared" si="228"/>
        <v>635</v>
      </c>
      <c r="GL23" s="13">
        <f t="shared" si="228"/>
        <v>1464</v>
      </c>
      <c r="GM23" s="13">
        <f t="shared" si="228"/>
        <v>541</v>
      </c>
      <c r="GN23" s="13">
        <f t="shared" si="228"/>
        <v>567</v>
      </c>
      <c r="GO23" s="13">
        <f t="shared" si="228"/>
        <v>1265</v>
      </c>
      <c r="GP23" s="13">
        <f t="shared" si="228"/>
        <v>2829</v>
      </c>
      <c r="GQ23" s="13">
        <f t="shared" ref="GQ23:IF23" si="229">GQ16-GR16</f>
        <v>1442</v>
      </c>
      <c r="GR23" s="13">
        <f t="shared" si="229"/>
        <v>1684</v>
      </c>
      <c r="GS23" s="13">
        <f t="shared" si="229"/>
        <v>705</v>
      </c>
      <c r="GT23" s="13">
        <f t="shared" si="229"/>
        <v>722</v>
      </c>
      <c r="GU23" s="13">
        <f t="shared" si="229"/>
        <v>1312</v>
      </c>
      <c r="GV23" s="13">
        <f t="shared" si="229"/>
        <v>2407</v>
      </c>
      <c r="GW23" s="13">
        <f t="shared" si="229"/>
        <v>378</v>
      </c>
      <c r="GX23" s="13">
        <f t="shared" si="229"/>
        <v>3904</v>
      </c>
      <c r="GY23" s="13">
        <f t="shared" si="229"/>
        <v>769</v>
      </c>
      <c r="GZ23" s="13">
        <f t="shared" si="229"/>
        <v>878</v>
      </c>
      <c r="HA23" s="13">
        <f t="shared" si="229"/>
        <v>2406</v>
      </c>
      <c r="HB23" s="13">
        <f t="shared" si="229"/>
        <v>948</v>
      </c>
      <c r="HC23" s="13">
        <f t="shared" si="229"/>
        <v>4250</v>
      </c>
      <c r="HD23" s="13">
        <f t="shared" si="229"/>
        <v>390</v>
      </c>
      <c r="HE23" s="13">
        <f t="shared" si="229"/>
        <v>608</v>
      </c>
      <c r="HF23" s="13">
        <f t="shared" si="229"/>
        <v>316</v>
      </c>
      <c r="HG23" s="13">
        <f t="shared" si="229"/>
        <v>155</v>
      </c>
      <c r="HH23" s="13">
        <f t="shared" si="229"/>
        <v>744</v>
      </c>
      <c r="HI23" s="13">
        <f t="shared" si="229"/>
        <v>3119</v>
      </c>
      <c r="HJ23" s="13">
        <f t="shared" si="229"/>
        <v>554</v>
      </c>
      <c r="HK23" s="13">
        <f t="shared" si="229"/>
        <v>384</v>
      </c>
      <c r="HL23" s="13">
        <f t="shared" si="229"/>
        <v>100</v>
      </c>
      <c r="HM23" s="13">
        <f t="shared" si="229"/>
        <v>529</v>
      </c>
      <c r="HN23" s="13">
        <f t="shared" si="229"/>
        <v>281</v>
      </c>
      <c r="HO23" s="13">
        <f t="shared" si="229"/>
        <v>293</v>
      </c>
      <c r="HP23" s="13">
        <f t="shared" si="229"/>
        <v>395</v>
      </c>
      <c r="HQ23" s="13">
        <f t="shared" si="229"/>
        <v>319</v>
      </c>
      <c r="HR23" s="13">
        <f t="shared" si="229"/>
        <v>271</v>
      </c>
      <c r="HS23" s="13">
        <f t="shared" si="229"/>
        <v>332</v>
      </c>
      <c r="HT23" s="13">
        <f t="shared" si="229"/>
        <v>526</v>
      </c>
      <c r="HU23" s="13">
        <f t="shared" si="229"/>
        <v>685</v>
      </c>
      <c r="HV23" s="13">
        <f t="shared" si="229"/>
        <v>244</v>
      </c>
      <c r="HW23" s="13">
        <f t="shared" si="229"/>
        <v>280</v>
      </c>
      <c r="HX23" s="13">
        <f t="shared" si="229"/>
        <v>200</v>
      </c>
      <c r="HY23" s="13">
        <f t="shared" si="229"/>
        <v>137</v>
      </c>
      <c r="HZ23" s="13">
        <f t="shared" si="229"/>
        <v>196</v>
      </c>
      <c r="IA23" s="13">
        <f t="shared" si="229"/>
        <v>368</v>
      </c>
      <c r="IB23" s="13">
        <f t="shared" si="229"/>
        <v>257</v>
      </c>
      <c r="IC23" s="13">
        <f t="shared" si="229"/>
        <v>398</v>
      </c>
      <c r="ID23" s="13">
        <f t="shared" si="229"/>
        <v>277</v>
      </c>
      <c r="IE23" s="13">
        <f t="shared" si="229"/>
        <v>626</v>
      </c>
      <c r="IF23" s="13">
        <f t="shared" si="229"/>
        <v>661</v>
      </c>
      <c r="IG23" s="13">
        <f t="shared" ref="IG23:JL23" si="230">IG16-IH16</f>
        <v>878</v>
      </c>
      <c r="IH23" s="13">
        <f t="shared" si="230"/>
        <v>561</v>
      </c>
      <c r="II23" s="13">
        <f t="shared" si="230"/>
        <v>695</v>
      </c>
      <c r="IJ23" s="13">
        <f t="shared" si="230"/>
        <v>1058</v>
      </c>
      <c r="IK23" s="13">
        <f t="shared" si="230"/>
        <v>742</v>
      </c>
      <c r="IL23" s="13">
        <f t="shared" si="230"/>
        <v>391</v>
      </c>
      <c r="IM23" s="13">
        <f t="shared" si="230"/>
        <v>866</v>
      </c>
      <c r="IN23" s="13">
        <f t="shared" si="230"/>
        <v>697</v>
      </c>
      <c r="IO23" s="13">
        <f t="shared" si="230"/>
        <v>433</v>
      </c>
      <c r="IP23" s="13">
        <f t="shared" si="230"/>
        <v>858</v>
      </c>
      <c r="IQ23" s="13">
        <f t="shared" si="230"/>
        <v>891</v>
      </c>
      <c r="IR23" s="13">
        <f t="shared" si="230"/>
        <v>704</v>
      </c>
      <c r="IS23" s="13">
        <f t="shared" si="230"/>
        <v>709</v>
      </c>
      <c r="IT23" s="13">
        <f t="shared" si="230"/>
        <v>187</v>
      </c>
      <c r="IU23" s="13">
        <f t="shared" si="230"/>
        <v>2807</v>
      </c>
      <c r="IV23" s="13">
        <f t="shared" si="230"/>
        <v>448</v>
      </c>
      <c r="IW23" s="13">
        <f t="shared" si="230"/>
        <v>166</v>
      </c>
      <c r="IX23" s="13">
        <f t="shared" si="230"/>
        <v>322</v>
      </c>
      <c r="IY23" s="13">
        <f t="shared" si="230"/>
        <v>133</v>
      </c>
      <c r="IZ23" s="13">
        <f t="shared" si="230"/>
        <v>262</v>
      </c>
      <c r="JA23" s="13">
        <f t="shared" si="230"/>
        <v>265</v>
      </c>
      <c r="JB23" s="13">
        <f t="shared" si="230"/>
        <v>134</v>
      </c>
      <c r="JC23" s="13">
        <f t="shared" si="230"/>
        <v>337</v>
      </c>
      <c r="JD23" s="13">
        <f t="shared" si="230"/>
        <v>466</v>
      </c>
      <c r="JE23" s="13">
        <f t="shared" si="230"/>
        <v>454</v>
      </c>
      <c r="JF23" s="13">
        <f t="shared" si="230"/>
        <v>203</v>
      </c>
      <c r="JG23" s="13">
        <f t="shared" si="230"/>
        <v>262</v>
      </c>
      <c r="JH23" s="13">
        <f t="shared" si="230"/>
        <v>429</v>
      </c>
      <c r="JI23" s="13">
        <f t="shared" si="230"/>
        <v>213</v>
      </c>
      <c r="JJ23" s="13">
        <f t="shared" si="230"/>
        <v>398</v>
      </c>
      <c r="JK23" s="13">
        <f t="shared" si="230"/>
        <v>682</v>
      </c>
      <c r="JL23" s="13">
        <f t="shared" si="230"/>
        <v>461</v>
      </c>
      <c r="JM23" s="13">
        <f t="shared" ref="JM23:KR23" si="231">JM16-JN16</f>
        <v>349</v>
      </c>
      <c r="JN23" s="13">
        <f t="shared" si="231"/>
        <v>352</v>
      </c>
      <c r="JO23" s="13">
        <f t="shared" si="231"/>
        <v>377</v>
      </c>
      <c r="JP23" s="13">
        <f t="shared" si="231"/>
        <v>353</v>
      </c>
      <c r="JQ23" s="13">
        <f t="shared" si="231"/>
        <v>186</v>
      </c>
      <c r="JR23" s="13">
        <f t="shared" si="231"/>
        <v>374</v>
      </c>
      <c r="JS23" s="13">
        <f t="shared" si="231"/>
        <v>509</v>
      </c>
      <c r="JT23" s="13">
        <f t="shared" si="231"/>
        <v>267</v>
      </c>
      <c r="JU23" s="13">
        <f t="shared" si="231"/>
        <v>587</v>
      </c>
      <c r="JV23" s="13">
        <f t="shared" si="231"/>
        <v>429</v>
      </c>
      <c r="JW23" s="13">
        <f t="shared" si="231"/>
        <v>361</v>
      </c>
      <c r="JX23" s="13">
        <f t="shared" si="231"/>
        <v>302</v>
      </c>
      <c r="JY23" s="13">
        <f t="shared" si="231"/>
        <v>472</v>
      </c>
      <c r="JZ23" s="13">
        <f t="shared" si="231"/>
        <v>340</v>
      </c>
      <c r="KA23" s="13">
        <f t="shared" si="231"/>
        <v>415</v>
      </c>
      <c r="KB23" s="13">
        <f t="shared" si="231"/>
        <v>362</v>
      </c>
      <c r="KC23" s="13">
        <f t="shared" si="231"/>
        <v>273</v>
      </c>
      <c r="KD23" s="13">
        <f t="shared" si="231"/>
        <v>160</v>
      </c>
      <c r="KE23" s="13">
        <f t="shared" si="231"/>
        <v>337</v>
      </c>
      <c r="KF23" s="13">
        <f t="shared" si="231"/>
        <v>474</v>
      </c>
      <c r="KG23" s="13">
        <f t="shared" si="231"/>
        <v>485</v>
      </c>
      <c r="KH23" s="13">
        <f t="shared" si="231"/>
        <v>548</v>
      </c>
      <c r="KI23" s="13">
        <f t="shared" si="231"/>
        <v>767</v>
      </c>
      <c r="KJ23" s="13">
        <f t="shared" si="231"/>
        <v>597</v>
      </c>
      <c r="KK23" s="13">
        <f t="shared" si="231"/>
        <v>459</v>
      </c>
      <c r="KL23" s="13">
        <f t="shared" si="231"/>
        <v>895</v>
      </c>
      <c r="KM23" s="13">
        <f t="shared" si="231"/>
        <v>486</v>
      </c>
      <c r="KN23" s="13">
        <f t="shared" si="231"/>
        <v>644</v>
      </c>
      <c r="KO23" s="13">
        <f t="shared" si="231"/>
        <v>598</v>
      </c>
      <c r="KP23" s="13">
        <f t="shared" si="231"/>
        <v>697</v>
      </c>
      <c r="KQ23" s="13">
        <f t="shared" si="231"/>
        <v>541</v>
      </c>
      <c r="KR23" s="13">
        <f t="shared" si="231"/>
        <v>460</v>
      </c>
      <c r="KS23" s="13">
        <f t="shared" ref="KS23:LX23" si="232">KS16-KT16</f>
        <v>792</v>
      </c>
      <c r="KT23" s="13">
        <f t="shared" si="232"/>
        <v>983</v>
      </c>
      <c r="KU23" s="13">
        <f t="shared" si="232"/>
        <v>964</v>
      </c>
      <c r="KV23" s="13">
        <f t="shared" si="232"/>
        <v>1015</v>
      </c>
      <c r="KW23" s="13">
        <f t="shared" si="232"/>
        <v>926</v>
      </c>
      <c r="KX23" s="13">
        <f t="shared" si="232"/>
        <v>902</v>
      </c>
      <c r="KY23" s="13">
        <f t="shared" si="232"/>
        <v>712</v>
      </c>
      <c r="KZ23" s="13">
        <f t="shared" si="232"/>
        <v>751</v>
      </c>
      <c r="LA23" s="13">
        <f t="shared" si="232"/>
        <v>636</v>
      </c>
      <c r="LB23" s="13">
        <f t="shared" si="232"/>
        <v>1027</v>
      </c>
      <c r="LC23" s="13">
        <f t="shared" si="232"/>
        <v>831</v>
      </c>
      <c r="LD23" s="13">
        <f t="shared" si="232"/>
        <v>672</v>
      </c>
      <c r="LE23" s="13">
        <f t="shared" si="232"/>
        <v>489</v>
      </c>
      <c r="LF23" s="13">
        <f t="shared" si="232"/>
        <v>1035</v>
      </c>
      <c r="LG23" s="13">
        <f t="shared" si="232"/>
        <v>1134</v>
      </c>
      <c r="LH23" s="13">
        <f t="shared" si="232"/>
        <v>732</v>
      </c>
      <c r="LI23" s="13">
        <f t="shared" si="232"/>
        <v>878</v>
      </c>
      <c r="LJ23" s="13">
        <f t="shared" si="232"/>
        <v>1022</v>
      </c>
      <c r="LK23" s="13">
        <f t="shared" si="232"/>
        <v>1103</v>
      </c>
      <c r="LL23" s="13">
        <f t="shared" si="232"/>
        <v>1415</v>
      </c>
      <c r="LM23" s="13">
        <f t="shared" si="232"/>
        <v>1657</v>
      </c>
      <c r="LN23" s="13">
        <f t="shared" si="232"/>
        <v>1896</v>
      </c>
      <c r="LO23" s="13">
        <f t="shared" si="232"/>
        <v>1827</v>
      </c>
      <c r="LP23" s="13">
        <f t="shared" si="232"/>
        <v>2306</v>
      </c>
      <c r="LQ23" s="13">
        <f t="shared" si="232"/>
        <v>2488</v>
      </c>
      <c r="LR23" s="13">
        <f t="shared" si="232"/>
        <v>1926</v>
      </c>
      <c r="LS23" s="13">
        <f t="shared" si="232"/>
        <v>2165</v>
      </c>
      <c r="LT23" s="13">
        <f t="shared" si="232"/>
        <v>2082</v>
      </c>
      <c r="LU23" s="13">
        <f t="shared" si="232"/>
        <v>2038</v>
      </c>
      <c r="LV23" s="13">
        <f t="shared" si="232"/>
        <v>2192</v>
      </c>
      <c r="LW23" s="13">
        <f t="shared" si="232"/>
        <v>1313</v>
      </c>
      <c r="LX23" s="13">
        <f t="shared" si="232"/>
        <v>1814</v>
      </c>
      <c r="LY23" s="13">
        <f t="shared" ref="LY23:ND23" si="233">LY16-LZ16</f>
        <v>1535</v>
      </c>
      <c r="LZ23" s="13">
        <f t="shared" si="233"/>
        <v>1050</v>
      </c>
      <c r="MA23" s="13">
        <f t="shared" si="233"/>
        <v>954</v>
      </c>
      <c r="MB23" s="13">
        <f t="shared" si="233"/>
        <v>923</v>
      </c>
      <c r="MC23" s="13">
        <f t="shared" si="233"/>
        <v>942</v>
      </c>
      <c r="MD23" s="13">
        <f t="shared" si="233"/>
        <v>703</v>
      </c>
      <c r="ME23" s="13">
        <f t="shared" si="233"/>
        <v>824</v>
      </c>
      <c r="MF23" s="13">
        <f t="shared" si="233"/>
        <v>847</v>
      </c>
      <c r="MG23" s="13">
        <f t="shared" si="233"/>
        <v>845</v>
      </c>
      <c r="MH23" s="13">
        <f t="shared" si="233"/>
        <v>1357</v>
      </c>
      <c r="MI23" s="13">
        <f t="shared" si="233"/>
        <v>548</v>
      </c>
      <c r="MJ23" s="13">
        <f t="shared" si="233"/>
        <v>578</v>
      </c>
      <c r="MK23" s="13">
        <f t="shared" si="233"/>
        <v>722</v>
      </c>
      <c r="ML23" s="13">
        <f t="shared" si="233"/>
        <v>1580</v>
      </c>
      <c r="MM23" s="13">
        <f t="shared" si="233"/>
        <v>1604</v>
      </c>
      <c r="MN23" s="13">
        <f t="shared" si="233"/>
        <v>1829</v>
      </c>
      <c r="MO23" s="13">
        <f t="shared" si="233"/>
        <v>2628</v>
      </c>
      <c r="MP23" s="13">
        <f t="shared" si="233"/>
        <v>1498</v>
      </c>
      <c r="MQ23" s="13">
        <f t="shared" si="233"/>
        <v>1659</v>
      </c>
      <c r="MR23" s="13">
        <f t="shared" si="233"/>
        <v>2524</v>
      </c>
      <c r="MS23" s="13">
        <f t="shared" si="233"/>
        <v>2129</v>
      </c>
      <c r="MT23" s="13">
        <f t="shared" si="233"/>
        <v>2533</v>
      </c>
      <c r="MU23" s="13">
        <f t="shared" si="233"/>
        <v>3880</v>
      </c>
      <c r="MV23" s="13">
        <f t="shared" si="233"/>
        <v>4768</v>
      </c>
      <c r="MW23" s="13">
        <f t="shared" si="233"/>
        <v>5664</v>
      </c>
      <c r="MX23" s="13">
        <f t="shared" si="233"/>
        <v>6211</v>
      </c>
      <c r="MY23" s="13">
        <f t="shared" si="233"/>
        <v>7014</v>
      </c>
      <c r="MZ23" s="13">
        <f t="shared" si="233"/>
        <v>9602</v>
      </c>
      <c r="NA23" s="13">
        <f t="shared" si="233"/>
        <v>12878</v>
      </c>
      <c r="NB23" s="13">
        <f t="shared" si="233"/>
        <v>16874</v>
      </c>
      <c r="NC23" s="13">
        <f t="shared" si="233"/>
        <v>14745</v>
      </c>
      <c r="ND23" s="13">
        <f t="shared" si="233"/>
        <v>13517</v>
      </c>
      <c r="NE23" s="13">
        <f t="shared" ref="NE23:OG23" si="234">NE16-NF16</f>
        <v>14885</v>
      </c>
      <c r="NF23" s="13">
        <f t="shared" si="234"/>
        <v>16598</v>
      </c>
      <c r="NG23" s="13">
        <f t="shared" si="234"/>
        <v>16235</v>
      </c>
      <c r="NH23" s="13">
        <f t="shared" si="234"/>
        <v>20116</v>
      </c>
      <c r="NI23" s="13">
        <f t="shared" si="234"/>
        <v>21536</v>
      </c>
      <c r="NJ23" s="13">
        <f t="shared" si="234"/>
        <v>20069</v>
      </c>
      <c r="NK23" s="13">
        <f t="shared" si="234"/>
        <v>23024</v>
      </c>
      <c r="NL23" s="13">
        <f t="shared" si="234"/>
        <v>28951</v>
      </c>
      <c r="NM23" s="13">
        <f t="shared" si="234"/>
        <v>27582</v>
      </c>
      <c r="NN23" s="13">
        <f t="shared" si="234"/>
        <v>26407</v>
      </c>
      <c r="NO23" s="13">
        <f t="shared" si="234"/>
        <v>31470</v>
      </c>
      <c r="NP23" s="13">
        <f t="shared" si="234"/>
        <v>31215</v>
      </c>
      <c r="NQ23" s="13">
        <f t="shared" si="234"/>
        <v>30659</v>
      </c>
      <c r="NR23" s="13">
        <f t="shared" si="234"/>
        <v>31139</v>
      </c>
      <c r="NS23" s="13">
        <f t="shared" si="234"/>
        <v>31432</v>
      </c>
      <c r="NT23" s="13">
        <f t="shared" si="234"/>
        <v>25739</v>
      </c>
      <c r="NU23" s="13">
        <f t="shared" si="234"/>
        <v>26857</v>
      </c>
      <c r="NV23" s="13">
        <f t="shared" si="234"/>
        <v>23408</v>
      </c>
      <c r="NW23" s="13">
        <f t="shared" si="234"/>
        <v>24886</v>
      </c>
      <c r="NX23" s="13">
        <f t="shared" si="234"/>
        <v>23156</v>
      </c>
      <c r="NY23" s="13">
        <f t="shared" si="234"/>
        <v>17704</v>
      </c>
      <c r="NZ23" s="13">
        <f t="shared" si="234"/>
        <v>15034</v>
      </c>
      <c r="OA23" s="13">
        <f t="shared" si="234"/>
        <v>9368</v>
      </c>
      <c r="OB23" s="13">
        <f t="shared" si="234"/>
        <v>8234</v>
      </c>
      <c r="OC23" s="13">
        <f t="shared" si="234"/>
        <v>5690</v>
      </c>
      <c r="OD23" s="13">
        <f t="shared" si="234"/>
        <v>3610</v>
      </c>
      <c r="OE23" s="13">
        <f t="shared" si="234"/>
        <v>3700</v>
      </c>
      <c r="OF23" s="13">
        <f t="shared" si="234"/>
        <v>458</v>
      </c>
      <c r="OG23" s="13">
        <f t="shared" si="234"/>
        <v>1739</v>
      </c>
    </row>
    <row r="24" spans="1:397">
      <c r="A24" s="13" t="s">
        <v>95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1</v>
      </c>
      <c r="O24" s="13">
        <v>4</v>
      </c>
      <c r="P24" s="13">
        <v>6</v>
      </c>
      <c r="Q24" s="13">
        <v>17</v>
      </c>
      <c r="R24" s="13">
        <v>15</v>
      </c>
      <c r="S24" s="13">
        <v>12</v>
      </c>
      <c r="T24" s="13">
        <v>33</v>
      </c>
      <c r="U24" s="13">
        <v>73</v>
      </c>
      <c r="V24" s="13">
        <v>36</v>
      </c>
      <c r="W24" s="13">
        <v>36</v>
      </c>
      <c r="X24" s="13">
        <v>41</v>
      </c>
      <c r="Y24" s="13">
        <v>55</v>
      </c>
      <c r="Z24" s="13">
        <v>69</v>
      </c>
      <c r="AA24" s="13">
        <v>117</v>
      </c>
      <c r="AB24" s="13">
        <v>65</v>
      </c>
      <c r="AC24" s="13">
        <v>90</v>
      </c>
      <c r="AD24" s="13">
        <v>94</v>
      </c>
      <c r="AE24" s="13">
        <v>126</v>
      </c>
      <c r="AF24" s="13">
        <v>88</v>
      </c>
      <c r="AG24" s="13">
        <v>106</v>
      </c>
      <c r="AH24" s="13">
        <v>93</v>
      </c>
      <c r="AI24" s="13">
        <v>96</v>
      </c>
      <c r="AJ24" s="13">
        <v>115</v>
      </c>
      <c r="AK24" s="13">
        <v>135</v>
      </c>
      <c r="AL24" s="13">
        <v>124</v>
      </c>
      <c r="AM24" s="13">
        <v>107</v>
      </c>
      <c r="AN24" s="13">
        <v>42</v>
      </c>
      <c r="AO24" s="13">
        <v>85</v>
      </c>
      <c r="AP24" s="13">
        <v>48</v>
      </c>
      <c r="AQ24" s="13">
        <v>17</v>
      </c>
      <c r="AR24" s="13">
        <v>37</v>
      </c>
      <c r="AS24" s="13">
        <v>52</v>
      </c>
      <c r="AT24" s="13">
        <v>23</v>
      </c>
      <c r="AU24" s="13">
        <v>17</v>
      </c>
      <c r="AV24" s="13">
        <v>13</v>
      </c>
      <c r="AW24" s="13">
        <v>8</v>
      </c>
      <c r="AX24" s="13">
        <v>8</v>
      </c>
      <c r="AY24" s="13">
        <v>9</v>
      </c>
      <c r="AZ24" s="13">
        <v>9</v>
      </c>
      <c r="BA24" s="13">
        <v>7</v>
      </c>
      <c r="BB24" s="13">
        <v>15</v>
      </c>
      <c r="BC24" s="13">
        <v>6</v>
      </c>
      <c r="BD24" s="13">
        <v>12</v>
      </c>
      <c r="BE24" s="13">
        <v>8</v>
      </c>
      <c r="BF24" s="13">
        <v>7</v>
      </c>
      <c r="BG24" s="13">
        <v>6</v>
      </c>
      <c r="BH24" s="13">
        <v>1</v>
      </c>
      <c r="BI24" s="13">
        <v>2</v>
      </c>
      <c r="BJ24" s="13">
        <v>2</v>
      </c>
      <c r="BK24" s="13">
        <v>1</v>
      </c>
      <c r="BL24" s="13">
        <v>3</v>
      </c>
      <c r="BM24" s="13">
        <v>1</v>
      </c>
      <c r="BN24" s="13">
        <v>0</v>
      </c>
      <c r="BO24" s="13">
        <v>0</v>
      </c>
      <c r="BP24" s="13">
        <v>3</v>
      </c>
      <c r="BQ24" s="13">
        <v>2</v>
      </c>
      <c r="BR24" s="13">
        <v>5</v>
      </c>
      <c r="BS24" s="13">
        <v>0</v>
      </c>
      <c r="BT24" s="13">
        <v>6</v>
      </c>
      <c r="BU24" s="13">
        <v>1</v>
      </c>
      <c r="BV24" s="13">
        <v>4</v>
      </c>
      <c r="BW24" s="13">
        <v>2</v>
      </c>
      <c r="BX24" s="13">
        <v>3</v>
      </c>
      <c r="BY24" s="13">
        <v>1</v>
      </c>
      <c r="BZ24" s="13">
        <v>2</v>
      </c>
      <c r="CA24" s="13">
        <v>2</v>
      </c>
      <c r="CB24" s="13">
        <v>0</v>
      </c>
      <c r="CC24" s="13">
        <v>2</v>
      </c>
      <c r="CD24" s="13">
        <v>4</v>
      </c>
      <c r="CE24" s="13">
        <v>3</v>
      </c>
      <c r="CF24" s="13">
        <v>0</v>
      </c>
      <c r="CG24" s="13">
        <v>0</v>
      </c>
      <c r="CH24" s="13">
        <v>0</v>
      </c>
      <c r="CI24" s="13">
        <v>9</v>
      </c>
      <c r="CJ24" s="13">
        <v>0</v>
      </c>
      <c r="CK24" s="13">
        <v>2</v>
      </c>
      <c r="CL24" s="13">
        <v>2</v>
      </c>
      <c r="CM24" s="13">
        <v>3</v>
      </c>
      <c r="CN24" s="13">
        <v>7</v>
      </c>
      <c r="CO24" s="13">
        <v>0</v>
      </c>
      <c r="CP24" s="13">
        <v>0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0</v>
      </c>
      <c r="CW24" s="13">
        <v>1</v>
      </c>
      <c r="CX24" s="13">
        <v>1</v>
      </c>
      <c r="CY24" s="13">
        <v>1</v>
      </c>
      <c r="CZ24" s="13">
        <v>1</v>
      </c>
      <c r="DA24" s="13">
        <v>0</v>
      </c>
      <c r="DB24" s="13">
        <v>0</v>
      </c>
      <c r="DC24" s="13">
        <v>6</v>
      </c>
      <c r="DD24" s="13">
        <v>8</v>
      </c>
      <c r="DE24" s="13">
        <v>2</v>
      </c>
      <c r="DF24" s="13">
        <v>5</v>
      </c>
      <c r="DG24" s="13">
        <v>3</v>
      </c>
      <c r="DH24" s="13">
        <v>3</v>
      </c>
      <c r="DI24" s="13">
        <v>6</v>
      </c>
      <c r="DJ24" s="13">
        <v>1</v>
      </c>
      <c r="DK24" s="13">
        <v>23</v>
      </c>
      <c r="DL24" s="13">
        <v>22</v>
      </c>
      <c r="DM24" s="13">
        <v>0</v>
      </c>
      <c r="DN24" s="13">
        <v>0</v>
      </c>
      <c r="DO24" s="13">
        <v>0</v>
      </c>
      <c r="DP24" s="13">
        <v>0</v>
      </c>
      <c r="DQ24" s="13">
        <v>0</v>
      </c>
      <c r="DR24" s="13">
        <v>0</v>
      </c>
      <c r="DS24" s="13">
        <v>0</v>
      </c>
      <c r="DT24" s="13">
        <v>0</v>
      </c>
      <c r="DU24" s="13">
        <v>0</v>
      </c>
      <c r="DV24" s="13">
        <v>0</v>
      </c>
      <c r="DW24" s="13">
        <v>0</v>
      </c>
      <c r="DX24" s="13">
        <v>0</v>
      </c>
      <c r="DY24" s="13">
        <v>1</v>
      </c>
      <c r="DZ24" s="13">
        <v>6</v>
      </c>
      <c r="EA24" s="13">
        <v>6</v>
      </c>
      <c r="EB24" s="13">
        <v>0</v>
      </c>
      <c r="EC24" s="13">
        <v>0</v>
      </c>
      <c r="ED24" s="13">
        <v>0</v>
      </c>
      <c r="EE24" s="13">
        <v>0</v>
      </c>
      <c r="EF24" s="13">
        <v>0</v>
      </c>
      <c r="EG24" s="13">
        <v>0</v>
      </c>
      <c r="EH24" s="13">
        <v>0</v>
      </c>
      <c r="EI24" s="13">
        <v>0</v>
      </c>
      <c r="EJ24" s="13">
        <v>0</v>
      </c>
      <c r="EK24" s="13">
        <v>0</v>
      </c>
      <c r="EL24" s="13">
        <v>0</v>
      </c>
      <c r="EM24" s="13">
        <v>0</v>
      </c>
      <c r="EN24" s="13">
        <v>0</v>
      </c>
      <c r="EO24" s="13">
        <v>0</v>
      </c>
      <c r="EP24" s="13">
        <v>0</v>
      </c>
      <c r="EQ24" s="13">
        <v>0</v>
      </c>
      <c r="ER24" s="13">
        <v>0</v>
      </c>
      <c r="ES24" s="13">
        <v>0</v>
      </c>
      <c r="ET24" s="13">
        <v>0</v>
      </c>
      <c r="EU24" s="13">
        <v>0</v>
      </c>
      <c r="EV24" s="13">
        <v>0</v>
      </c>
      <c r="EW24" s="13">
        <v>0</v>
      </c>
      <c r="EX24" s="13">
        <v>0</v>
      </c>
      <c r="EY24" s="13">
        <v>0</v>
      </c>
      <c r="EZ24" s="13">
        <v>0</v>
      </c>
      <c r="FA24" s="13">
        <v>0</v>
      </c>
      <c r="FB24" s="13">
        <v>0</v>
      </c>
      <c r="FC24" s="13">
        <v>0</v>
      </c>
      <c r="FD24" s="13">
        <v>0</v>
      </c>
      <c r="FE24" s="13">
        <v>0</v>
      </c>
      <c r="FF24" s="13">
        <v>0</v>
      </c>
      <c r="FG24" s="13">
        <v>0</v>
      </c>
      <c r="FH24" s="13">
        <v>0</v>
      </c>
      <c r="FI24" s="13">
        <v>0</v>
      </c>
      <c r="FJ24" s="13">
        <v>0</v>
      </c>
      <c r="FK24" s="13">
        <v>0</v>
      </c>
      <c r="FL24" s="13">
        <v>0</v>
      </c>
      <c r="FM24" s="13">
        <v>0</v>
      </c>
      <c r="FN24" s="13">
        <v>0</v>
      </c>
      <c r="FO24" s="13">
        <v>0</v>
      </c>
      <c r="FP24" s="13">
        <v>0</v>
      </c>
      <c r="FQ24" s="13">
        <v>0</v>
      </c>
      <c r="FR24" s="13">
        <v>0</v>
      </c>
      <c r="FS24" s="13">
        <v>0</v>
      </c>
      <c r="FT24" s="13">
        <v>0</v>
      </c>
      <c r="FU24" s="13">
        <v>0</v>
      </c>
      <c r="FV24" s="13">
        <v>0</v>
      </c>
      <c r="FW24" s="13">
        <v>0</v>
      </c>
      <c r="FX24" s="13">
        <v>0</v>
      </c>
      <c r="FY24" s="13">
        <v>0</v>
      </c>
      <c r="FZ24" s="13">
        <v>0</v>
      </c>
      <c r="GA24" s="13">
        <v>0</v>
      </c>
      <c r="GB24" s="13">
        <v>0</v>
      </c>
      <c r="GC24" s="13">
        <v>0</v>
      </c>
      <c r="GD24" s="13">
        <v>0</v>
      </c>
      <c r="GE24" s="13">
        <v>0</v>
      </c>
      <c r="GF24" s="13">
        <v>0</v>
      </c>
      <c r="GG24" s="13">
        <v>4</v>
      </c>
      <c r="GH24" s="13">
        <v>8</v>
      </c>
      <c r="GI24" s="13">
        <v>8</v>
      </c>
      <c r="GJ24" s="13">
        <v>8</v>
      </c>
      <c r="GK24" s="13">
        <v>9</v>
      </c>
      <c r="GL24" s="13">
        <v>13</v>
      </c>
      <c r="GM24" s="13">
        <v>14</v>
      </c>
      <c r="GN24" s="13">
        <v>15</v>
      </c>
      <c r="GO24" s="13">
        <v>25</v>
      </c>
      <c r="GP24" s="13">
        <v>27</v>
      </c>
      <c r="GQ24" s="13">
        <v>30</v>
      </c>
      <c r="GR24" s="13">
        <v>22</v>
      </c>
      <c r="GS24" s="13">
        <v>30</v>
      </c>
      <c r="GT24" s="13">
        <v>36</v>
      </c>
      <c r="GU24" s="13">
        <v>33</v>
      </c>
      <c r="GV24" s="13">
        <v>39</v>
      </c>
      <c r="GW24" s="13">
        <v>123</v>
      </c>
      <c r="GX24" s="13">
        <v>102</v>
      </c>
      <c r="GY24" s="13">
        <v>98</v>
      </c>
      <c r="GZ24" s="13">
        <v>64</v>
      </c>
      <c r="HA24" s="13">
        <v>57</v>
      </c>
      <c r="HB24" s="13">
        <v>35</v>
      </c>
      <c r="HC24" s="13">
        <v>29</v>
      </c>
      <c r="HD24" s="13">
        <v>15</v>
      </c>
      <c r="HE24" s="13">
        <v>19</v>
      </c>
      <c r="HF24" s="13">
        <v>9</v>
      </c>
      <c r="HG24" s="13">
        <v>8</v>
      </c>
      <c r="HH24" s="13">
        <v>17</v>
      </c>
      <c r="HI24" s="13">
        <v>13</v>
      </c>
      <c r="HJ24" s="13">
        <v>16</v>
      </c>
      <c r="HK24" s="13">
        <v>1</v>
      </c>
      <c r="HL24" s="13">
        <v>0</v>
      </c>
      <c r="HM24" s="13">
        <v>0</v>
      </c>
      <c r="HN24" s="13">
        <v>0</v>
      </c>
      <c r="HO24" s="13">
        <v>0</v>
      </c>
      <c r="HP24" s="13">
        <v>0</v>
      </c>
      <c r="HQ24" s="13">
        <v>0</v>
      </c>
      <c r="HR24" s="13">
        <v>0</v>
      </c>
      <c r="HS24" s="13">
        <v>0</v>
      </c>
      <c r="HT24" s="13">
        <v>0</v>
      </c>
      <c r="HU24" s="13">
        <v>0</v>
      </c>
      <c r="HV24" s="13">
        <v>1</v>
      </c>
      <c r="HW24" s="13">
        <v>2</v>
      </c>
      <c r="HX24" s="13">
        <v>1</v>
      </c>
      <c r="HY24" s="13">
        <v>2</v>
      </c>
      <c r="HZ24" s="13">
        <v>1</v>
      </c>
      <c r="IA24" s="13">
        <v>3</v>
      </c>
      <c r="IB24" s="13">
        <v>8</v>
      </c>
      <c r="IC24" s="13">
        <v>7</v>
      </c>
      <c r="ID24" s="13">
        <v>14</v>
      </c>
      <c r="IE24" s="13">
        <v>17</v>
      </c>
      <c r="IF24" s="13">
        <v>11</v>
      </c>
      <c r="IG24" s="13">
        <v>14</v>
      </c>
      <c r="IH24" s="13">
        <v>9</v>
      </c>
      <c r="II24" s="13">
        <v>13</v>
      </c>
      <c r="IJ24" s="13">
        <v>11</v>
      </c>
      <c r="IK24" s="13">
        <v>25</v>
      </c>
      <c r="IL24" s="13">
        <v>23</v>
      </c>
      <c r="IM24" s="13">
        <v>28</v>
      </c>
      <c r="IN24" s="13">
        <v>24</v>
      </c>
      <c r="IO24" s="13">
        <v>33</v>
      </c>
      <c r="IP24" s="13">
        <v>32</v>
      </c>
      <c r="IQ24" s="13">
        <v>39</v>
      </c>
      <c r="IR24" s="13">
        <v>38</v>
      </c>
      <c r="IS24" s="13">
        <v>6</v>
      </c>
      <c r="IT24" s="13">
        <v>1</v>
      </c>
      <c r="IU24" s="13">
        <v>0</v>
      </c>
      <c r="IV24" s="13">
        <v>0</v>
      </c>
      <c r="IW24" s="13">
        <v>0</v>
      </c>
      <c r="IX24" s="13">
        <v>0</v>
      </c>
      <c r="IY24" s="13">
        <v>1</v>
      </c>
      <c r="IZ24" s="13">
        <v>0</v>
      </c>
      <c r="JA24" s="13">
        <v>0</v>
      </c>
      <c r="JB24" s="13">
        <v>0</v>
      </c>
      <c r="JC24" s="13">
        <v>0</v>
      </c>
      <c r="JD24" s="13">
        <v>0</v>
      </c>
      <c r="JE24" s="13">
        <v>0</v>
      </c>
      <c r="JF24" s="13">
        <v>0</v>
      </c>
      <c r="JG24" s="13">
        <v>0</v>
      </c>
      <c r="JH24" s="13">
        <v>0</v>
      </c>
      <c r="JI24" s="13">
        <v>0</v>
      </c>
      <c r="JJ24" s="13">
        <v>0</v>
      </c>
      <c r="JK24" s="13">
        <v>0</v>
      </c>
      <c r="JL24" s="13">
        <v>0</v>
      </c>
      <c r="JM24" s="13">
        <v>1</v>
      </c>
      <c r="JN24" s="13">
        <v>0</v>
      </c>
      <c r="JO24" s="13">
        <v>2</v>
      </c>
      <c r="JP24" s="13">
        <v>1</v>
      </c>
      <c r="JQ24" s="13">
        <v>4</v>
      </c>
      <c r="JR24" s="13">
        <v>3</v>
      </c>
      <c r="JS24" s="13">
        <v>3</v>
      </c>
      <c r="JT24" s="13">
        <v>3</v>
      </c>
      <c r="JU24" s="13">
        <v>2</v>
      </c>
      <c r="JV24" s="13">
        <v>4</v>
      </c>
      <c r="JW24" s="13">
        <v>3</v>
      </c>
      <c r="JX24" s="13">
        <v>6</v>
      </c>
      <c r="JY24" s="13">
        <v>0</v>
      </c>
      <c r="JZ24" s="13">
        <v>10</v>
      </c>
      <c r="KA24" s="13">
        <v>12</v>
      </c>
      <c r="KB24" s="13">
        <v>0</v>
      </c>
      <c r="KC24" s="13">
        <v>1</v>
      </c>
      <c r="KD24" s="13">
        <v>0</v>
      </c>
      <c r="KE24" s="13">
        <v>0</v>
      </c>
      <c r="KF24" s="13">
        <v>0</v>
      </c>
      <c r="KG24" s="13">
        <v>0</v>
      </c>
      <c r="KH24" s="13">
        <v>1</v>
      </c>
      <c r="KI24" s="13">
        <v>0</v>
      </c>
      <c r="KJ24" s="13">
        <v>6</v>
      </c>
      <c r="KK24" s="13">
        <v>0</v>
      </c>
      <c r="KL24" s="13">
        <v>1</v>
      </c>
      <c r="KM24" s="13">
        <v>3</v>
      </c>
      <c r="KN24" s="13">
        <v>1</v>
      </c>
      <c r="KO24" s="13">
        <v>6</v>
      </c>
      <c r="KP24" s="13">
        <v>1</v>
      </c>
      <c r="KQ24" s="13">
        <v>4</v>
      </c>
      <c r="KR24" s="13">
        <v>4</v>
      </c>
      <c r="KS24" s="13">
        <v>7</v>
      </c>
      <c r="KT24" s="13">
        <v>7</v>
      </c>
      <c r="KU24" s="13">
        <v>4</v>
      </c>
      <c r="KV24" s="13">
        <v>7</v>
      </c>
      <c r="KW24" s="13">
        <v>10</v>
      </c>
      <c r="KX24" s="13">
        <v>11</v>
      </c>
      <c r="KY24" s="13">
        <v>12</v>
      </c>
      <c r="KZ24" s="13">
        <v>10</v>
      </c>
      <c r="LA24" s="13">
        <v>3</v>
      </c>
      <c r="LB24" s="13">
        <v>10</v>
      </c>
      <c r="LC24" s="13">
        <v>2</v>
      </c>
      <c r="LD24" s="13">
        <v>4</v>
      </c>
      <c r="LE24" s="13">
        <v>4</v>
      </c>
      <c r="LF24" s="13">
        <f t="shared" ref="LF24:MB24" si="235">LF2-LF21</f>
        <v>2</v>
      </c>
      <c r="LG24" s="13">
        <f t="shared" si="235"/>
        <v>3</v>
      </c>
      <c r="LH24" s="13">
        <f t="shared" si="235"/>
        <v>0</v>
      </c>
      <c r="LI24" s="13">
        <f t="shared" si="235"/>
        <v>1</v>
      </c>
      <c r="LJ24" s="13">
        <f t="shared" si="235"/>
        <v>5</v>
      </c>
      <c r="LK24" s="13">
        <f t="shared" si="235"/>
        <v>1</v>
      </c>
      <c r="LL24" s="13">
        <f t="shared" si="235"/>
        <v>2</v>
      </c>
      <c r="LM24" s="13">
        <f t="shared" si="235"/>
        <v>0</v>
      </c>
      <c r="LN24" s="13">
        <f t="shared" si="235"/>
        <v>1</v>
      </c>
      <c r="LO24" s="13">
        <f t="shared" si="235"/>
        <v>0</v>
      </c>
      <c r="LP24" s="13">
        <f t="shared" si="235"/>
        <v>1</v>
      </c>
      <c r="LQ24" s="13">
        <f t="shared" si="235"/>
        <v>1</v>
      </c>
      <c r="LR24" s="13">
        <f t="shared" si="235"/>
        <v>0</v>
      </c>
      <c r="LS24" s="13">
        <f t="shared" si="235"/>
        <v>1</v>
      </c>
      <c r="LT24" s="13">
        <f t="shared" si="235"/>
        <v>0</v>
      </c>
      <c r="LU24" s="13">
        <f t="shared" si="235"/>
        <v>0</v>
      </c>
      <c r="LV24" s="13">
        <f t="shared" si="235"/>
        <v>4</v>
      </c>
      <c r="LW24" s="13">
        <f t="shared" si="235"/>
        <v>0</v>
      </c>
      <c r="LX24" s="13">
        <f t="shared" si="235"/>
        <v>1</v>
      </c>
      <c r="LY24" s="13">
        <f t="shared" si="235"/>
        <v>0</v>
      </c>
      <c r="LZ24" s="13">
        <f t="shared" si="235"/>
        <v>0</v>
      </c>
      <c r="MA24" s="13">
        <f t="shared" si="235"/>
        <v>0</v>
      </c>
      <c r="MB24" s="13">
        <f t="shared" si="235"/>
        <v>1</v>
      </c>
      <c r="MC24" s="13"/>
      <c r="MD24" s="13"/>
      <c r="ME24" s="13"/>
      <c r="MF24" s="13"/>
      <c r="MG24" s="13"/>
      <c r="MH24" s="13"/>
      <c r="MI24" s="13"/>
      <c r="MJ24" s="13"/>
      <c r="MK24" s="13"/>
      <c r="ML24" s="13"/>
      <c r="MM24" s="13"/>
      <c r="MN24" s="13"/>
      <c r="MO24" s="19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</row>
    <row r="25" spans="1:397">
      <c r="A25" s="13" t="s">
        <v>97</v>
      </c>
      <c r="B25" s="13"/>
      <c r="C25" s="13"/>
      <c r="D25" s="13"/>
      <c r="E25" s="13"/>
      <c r="F25" s="13"/>
      <c r="G25" s="13"/>
      <c r="H25" s="13"/>
      <c r="I25" s="13"/>
      <c r="J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>
        <v>2</v>
      </c>
      <c r="AI25" s="13">
        <v>2</v>
      </c>
      <c r="AJ25" s="13">
        <v>2</v>
      </c>
      <c r="AK25" s="13">
        <v>3</v>
      </c>
      <c r="AL25" s="13">
        <v>3</v>
      </c>
      <c r="AM25" s="13">
        <v>3</v>
      </c>
      <c r="AN25" s="13">
        <v>4</v>
      </c>
      <c r="AO25" s="13">
        <v>5</v>
      </c>
      <c r="AP25" s="13">
        <v>5</v>
      </c>
      <c r="AQ25" s="13">
        <v>5</v>
      </c>
      <c r="AR25" s="13">
        <v>4</v>
      </c>
      <c r="AS25" s="13">
        <v>4</v>
      </c>
      <c r="AT25" s="13">
        <v>4</v>
      </c>
      <c r="AU25" s="13">
        <v>5</v>
      </c>
      <c r="AV25" s="13">
        <v>4</v>
      </c>
      <c r="AW25" s="13">
        <v>3</v>
      </c>
      <c r="AX25" s="13">
        <v>3</v>
      </c>
      <c r="AY25" s="13">
        <v>3</v>
      </c>
      <c r="AZ25" s="13">
        <v>3</v>
      </c>
      <c r="BA25" s="13">
        <v>3</v>
      </c>
      <c r="BB25" s="13">
        <v>3</v>
      </c>
      <c r="BC25" s="13">
        <v>3</v>
      </c>
      <c r="BD25" s="13">
        <v>3</v>
      </c>
      <c r="BE25" s="13">
        <v>3</v>
      </c>
      <c r="BF25" s="13">
        <v>5</v>
      </c>
      <c r="BG25" s="13">
        <v>5</v>
      </c>
      <c r="BH25" s="13">
        <v>4</v>
      </c>
      <c r="BI25" s="13">
        <v>3</v>
      </c>
      <c r="BJ25" s="13">
        <v>3</v>
      </c>
      <c r="BK25" s="13">
        <v>4</v>
      </c>
      <c r="BL25" s="13">
        <v>5</v>
      </c>
      <c r="BM25" s="13">
        <v>6</v>
      </c>
      <c r="BN25" s="13">
        <v>5</v>
      </c>
      <c r="BO25" s="13">
        <v>5</v>
      </c>
      <c r="BP25" s="13">
        <v>5</v>
      </c>
      <c r="BQ25" s="13">
        <v>5</v>
      </c>
      <c r="BR25" s="13">
        <v>5</v>
      </c>
      <c r="BS25" s="13">
        <v>4</v>
      </c>
      <c r="BT25" s="13">
        <v>3</v>
      </c>
      <c r="BU25" s="13">
        <v>3</v>
      </c>
      <c r="BV25" s="13">
        <v>3</v>
      </c>
      <c r="BW25" s="13">
        <v>3</v>
      </c>
      <c r="BX25" s="13">
        <v>4</v>
      </c>
      <c r="BY25" s="13">
        <v>4</v>
      </c>
      <c r="BZ25" s="13">
        <v>4</v>
      </c>
      <c r="CA25" s="13">
        <v>3</v>
      </c>
      <c r="CB25" s="13">
        <v>3</v>
      </c>
      <c r="CC25" s="13">
        <v>3</v>
      </c>
      <c r="CD25" s="13">
        <v>3</v>
      </c>
      <c r="CE25" s="13">
        <v>3</v>
      </c>
      <c r="CF25" s="13">
        <v>4</v>
      </c>
      <c r="CG25" s="13">
        <v>4</v>
      </c>
      <c r="CH25" s="13">
        <v>4</v>
      </c>
      <c r="CI25" s="13">
        <v>3</v>
      </c>
      <c r="CJ25" s="13">
        <v>2</v>
      </c>
      <c r="CK25" s="13">
        <v>2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</v>
      </c>
      <c r="DB25" s="13">
        <v>0</v>
      </c>
      <c r="DC25" s="13">
        <v>0</v>
      </c>
      <c r="DD25" s="13">
        <v>0</v>
      </c>
      <c r="DE25" s="13">
        <v>0</v>
      </c>
      <c r="DF25" s="13">
        <v>0</v>
      </c>
      <c r="DG25" s="13">
        <v>0</v>
      </c>
      <c r="DH25" s="13">
        <v>0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0</v>
      </c>
      <c r="DO25" s="13">
        <v>0</v>
      </c>
      <c r="DP25" s="13">
        <v>0</v>
      </c>
      <c r="DQ25" s="13">
        <v>0</v>
      </c>
      <c r="DR25" s="13">
        <v>0</v>
      </c>
      <c r="DS25" s="13">
        <v>0</v>
      </c>
      <c r="DT25" s="13">
        <v>0</v>
      </c>
      <c r="DU25" s="13">
        <v>0</v>
      </c>
      <c r="DV25" s="13">
        <v>0</v>
      </c>
      <c r="DW25" s="13">
        <v>0</v>
      </c>
      <c r="DX25" s="13">
        <v>0</v>
      </c>
      <c r="DY25" s="13">
        <v>0</v>
      </c>
      <c r="DZ25" s="13">
        <v>0</v>
      </c>
      <c r="EA25" s="13">
        <v>0</v>
      </c>
      <c r="EB25" s="13">
        <v>0</v>
      </c>
      <c r="EC25" s="13">
        <v>0</v>
      </c>
      <c r="ED25" s="13">
        <v>1</v>
      </c>
      <c r="EE25" s="13">
        <v>1</v>
      </c>
      <c r="EF25" s="13">
        <v>1</v>
      </c>
      <c r="EG25" s="13">
        <v>1</v>
      </c>
      <c r="EH25" s="13">
        <v>1</v>
      </c>
      <c r="EI25" s="13">
        <v>1</v>
      </c>
      <c r="EJ25" s="13">
        <v>1</v>
      </c>
      <c r="EK25" s="13">
        <v>1</v>
      </c>
      <c r="EL25" s="13">
        <v>2</v>
      </c>
      <c r="EM25" s="13">
        <v>2</v>
      </c>
      <c r="EN25" s="13">
        <v>2</v>
      </c>
      <c r="EO25" s="13">
        <v>2</v>
      </c>
      <c r="EP25" s="13">
        <v>2</v>
      </c>
      <c r="EQ25" s="13">
        <v>3</v>
      </c>
      <c r="ER25" s="13">
        <v>3</v>
      </c>
      <c r="ES25" s="13">
        <v>3</v>
      </c>
      <c r="ET25" s="13">
        <v>3</v>
      </c>
      <c r="EU25" s="13">
        <v>3</v>
      </c>
      <c r="EV25" s="13">
        <v>3</v>
      </c>
      <c r="EW25" s="13">
        <v>2</v>
      </c>
      <c r="EX25" s="13">
        <v>2</v>
      </c>
      <c r="EY25" s="13">
        <v>2</v>
      </c>
      <c r="EZ25" s="13">
        <v>2</v>
      </c>
      <c r="FA25" s="13">
        <v>1</v>
      </c>
      <c r="FB25" s="13">
        <v>0</v>
      </c>
      <c r="FC25" s="13">
        <v>1</v>
      </c>
      <c r="FD25" s="13">
        <v>1</v>
      </c>
      <c r="FE25" s="13">
        <v>1</v>
      </c>
      <c r="FF25" s="13">
        <v>1</v>
      </c>
      <c r="FG25" s="13">
        <v>2</v>
      </c>
      <c r="FH25" s="13">
        <v>2</v>
      </c>
      <c r="FI25" s="13">
        <v>2</v>
      </c>
      <c r="FJ25" s="13">
        <v>2</v>
      </c>
      <c r="FK25" s="13">
        <v>2</v>
      </c>
      <c r="FL25" s="13">
        <v>2</v>
      </c>
      <c r="FM25" s="13">
        <v>2</v>
      </c>
      <c r="FN25" s="13">
        <v>3</v>
      </c>
      <c r="FO25" s="13">
        <v>3</v>
      </c>
      <c r="FP25" s="13">
        <v>3</v>
      </c>
      <c r="FQ25" s="13">
        <v>3</v>
      </c>
      <c r="FR25" s="13">
        <v>4</v>
      </c>
      <c r="FS25" s="13">
        <v>4</v>
      </c>
      <c r="FT25" s="13">
        <v>4</v>
      </c>
      <c r="FU25" s="13">
        <v>4</v>
      </c>
      <c r="FV25" s="13">
        <v>4</v>
      </c>
      <c r="FW25" s="13">
        <v>3</v>
      </c>
      <c r="FX25" s="13">
        <v>3</v>
      </c>
      <c r="FY25" s="13">
        <v>2</v>
      </c>
      <c r="FZ25" s="13">
        <v>2</v>
      </c>
      <c r="GA25" s="13">
        <v>2</v>
      </c>
      <c r="GB25" s="13">
        <v>0</v>
      </c>
      <c r="GC25" s="13">
        <v>0</v>
      </c>
      <c r="GD25" s="13">
        <v>0</v>
      </c>
      <c r="GE25" s="13">
        <v>0</v>
      </c>
      <c r="GF25" s="13">
        <v>0</v>
      </c>
      <c r="GG25" s="13">
        <v>0</v>
      </c>
      <c r="GH25" s="13">
        <v>0</v>
      </c>
      <c r="GI25" s="13">
        <v>1</v>
      </c>
      <c r="GJ25" s="13">
        <v>1</v>
      </c>
      <c r="GK25" s="13">
        <v>1</v>
      </c>
      <c r="GL25" s="13">
        <v>1</v>
      </c>
      <c r="GM25" s="13">
        <v>1</v>
      </c>
      <c r="GN25" s="13">
        <v>1</v>
      </c>
      <c r="GO25" s="13">
        <v>1</v>
      </c>
      <c r="GP25" s="13">
        <v>1</v>
      </c>
      <c r="GQ25" s="13">
        <v>1</v>
      </c>
      <c r="GR25" s="13">
        <v>2</v>
      </c>
      <c r="GS25" s="13">
        <v>2</v>
      </c>
      <c r="GT25" s="13">
        <v>2</v>
      </c>
      <c r="GU25" s="13">
        <v>3</v>
      </c>
      <c r="GV25" s="13">
        <v>3</v>
      </c>
      <c r="GW25" s="13">
        <v>3</v>
      </c>
      <c r="GX25" s="13">
        <v>2</v>
      </c>
      <c r="GY25" s="13">
        <v>2</v>
      </c>
      <c r="GZ25" s="13">
        <v>2</v>
      </c>
      <c r="HA25" s="13">
        <v>2</v>
      </c>
      <c r="HB25" s="13">
        <v>2</v>
      </c>
      <c r="HC25" s="13">
        <v>2</v>
      </c>
      <c r="HD25" s="13">
        <v>2</v>
      </c>
      <c r="HE25" s="13">
        <v>2</v>
      </c>
      <c r="HF25" s="13">
        <v>2</v>
      </c>
      <c r="HG25" s="13">
        <v>3</v>
      </c>
      <c r="HH25" s="13">
        <v>3</v>
      </c>
      <c r="HI25" s="13">
        <v>3</v>
      </c>
      <c r="HJ25" s="13">
        <v>3</v>
      </c>
      <c r="HK25" s="13">
        <v>3</v>
      </c>
      <c r="HL25" s="13">
        <v>2</v>
      </c>
      <c r="HM25" s="13">
        <v>2</v>
      </c>
      <c r="HN25" s="13">
        <v>0</v>
      </c>
      <c r="HO25" s="13">
        <v>0</v>
      </c>
      <c r="HP25" s="13">
        <v>0</v>
      </c>
      <c r="HQ25" s="13">
        <v>0</v>
      </c>
      <c r="HR25" s="13">
        <v>0</v>
      </c>
      <c r="HS25" s="13">
        <v>0</v>
      </c>
      <c r="HT25" s="13">
        <v>0</v>
      </c>
      <c r="HU25" s="13">
        <v>0</v>
      </c>
      <c r="HV25" s="13">
        <v>0</v>
      </c>
      <c r="HW25" s="13">
        <v>0</v>
      </c>
      <c r="HX25" s="13">
        <v>0</v>
      </c>
      <c r="HY25" s="13">
        <v>0</v>
      </c>
      <c r="HZ25" s="13">
        <v>0</v>
      </c>
      <c r="IA25" s="13">
        <v>0</v>
      </c>
      <c r="IB25" s="13">
        <v>0</v>
      </c>
      <c r="IC25" s="13">
        <v>1</v>
      </c>
      <c r="ID25" s="13">
        <v>1</v>
      </c>
      <c r="IE25" s="13">
        <v>1</v>
      </c>
      <c r="IF25" s="13">
        <v>1</v>
      </c>
      <c r="IG25" s="13">
        <v>1</v>
      </c>
      <c r="IH25" s="13">
        <v>1</v>
      </c>
      <c r="II25" s="13">
        <v>0</v>
      </c>
      <c r="IJ25" s="13">
        <v>0</v>
      </c>
      <c r="IK25" s="13">
        <v>0</v>
      </c>
      <c r="IL25" s="13">
        <v>0</v>
      </c>
      <c r="IM25" s="13">
        <v>0</v>
      </c>
      <c r="IN25" s="13">
        <v>0</v>
      </c>
      <c r="IO25" s="13">
        <v>0</v>
      </c>
      <c r="IP25" s="13">
        <v>0</v>
      </c>
      <c r="IQ25" s="13">
        <v>0</v>
      </c>
      <c r="IR25" s="13">
        <v>0</v>
      </c>
      <c r="IS25" s="13">
        <v>0</v>
      </c>
      <c r="IT25" s="13">
        <v>0</v>
      </c>
      <c r="IU25" s="13">
        <v>0</v>
      </c>
      <c r="IV25" s="13">
        <v>0</v>
      </c>
      <c r="IW25" s="13">
        <v>0</v>
      </c>
      <c r="IX25" s="13">
        <v>0</v>
      </c>
      <c r="IY25" s="13">
        <v>0</v>
      </c>
      <c r="IZ25" s="13">
        <v>0</v>
      </c>
      <c r="JA25" s="13">
        <v>0</v>
      </c>
      <c r="JB25" s="13">
        <v>0</v>
      </c>
      <c r="JC25" s="13">
        <v>0</v>
      </c>
      <c r="JD25" s="13">
        <v>0</v>
      </c>
      <c r="JE25" s="13">
        <v>0</v>
      </c>
      <c r="JF25" s="13">
        <v>0</v>
      </c>
      <c r="JG25" s="13">
        <v>0</v>
      </c>
      <c r="JH25" s="13">
        <v>0</v>
      </c>
      <c r="JI25" s="13">
        <v>0</v>
      </c>
      <c r="JJ25" s="13">
        <v>0</v>
      </c>
      <c r="JK25" s="13">
        <v>1</v>
      </c>
      <c r="JL25" s="13">
        <v>1</v>
      </c>
      <c r="JM25" s="13">
        <v>1</v>
      </c>
      <c r="JN25" s="13">
        <v>2</v>
      </c>
      <c r="JO25" s="13">
        <v>2</v>
      </c>
      <c r="JP25" s="13">
        <v>2</v>
      </c>
      <c r="JQ25" s="13">
        <v>2</v>
      </c>
      <c r="JR25" s="13">
        <v>3</v>
      </c>
      <c r="JS25" s="13">
        <v>2</v>
      </c>
      <c r="JT25" s="13">
        <v>3</v>
      </c>
      <c r="JU25" s="13">
        <v>3</v>
      </c>
      <c r="JV25" s="13">
        <v>3</v>
      </c>
      <c r="JW25" s="13">
        <v>3</v>
      </c>
      <c r="JX25" s="13">
        <v>3</v>
      </c>
      <c r="JY25" s="13">
        <v>3</v>
      </c>
      <c r="JZ25" s="13">
        <v>3</v>
      </c>
      <c r="KA25" s="13">
        <v>3</v>
      </c>
      <c r="KB25" s="13">
        <v>5</v>
      </c>
      <c r="KC25" s="13">
        <v>5</v>
      </c>
      <c r="KD25" s="13">
        <v>5</v>
      </c>
      <c r="KE25" s="13">
        <v>5</v>
      </c>
      <c r="KF25" s="13">
        <v>5</v>
      </c>
      <c r="KG25" s="13">
        <v>5</v>
      </c>
      <c r="KH25" s="13">
        <v>6</v>
      </c>
      <c r="KI25" s="13">
        <v>7</v>
      </c>
      <c r="KJ25" s="13">
        <v>7</v>
      </c>
      <c r="KK25" s="13">
        <v>13</v>
      </c>
      <c r="KL25" s="13">
        <v>22</v>
      </c>
      <c r="KM25" s="13">
        <v>21</v>
      </c>
      <c r="KN25" s="13">
        <v>22</v>
      </c>
      <c r="KO25" s="13">
        <v>22</v>
      </c>
      <c r="KP25" s="13">
        <v>25</v>
      </c>
      <c r="KQ25" s="13">
        <v>32</v>
      </c>
      <c r="KR25" s="13">
        <v>37</v>
      </c>
      <c r="KS25" s="13">
        <v>41</v>
      </c>
      <c r="KT25" s="13">
        <v>44</v>
      </c>
      <c r="KU25" s="13">
        <v>43</v>
      </c>
      <c r="KV25" s="13">
        <v>47</v>
      </c>
      <c r="KW25" s="13">
        <v>47</v>
      </c>
      <c r="KX25" s="13">
        <v>45</v>
      </c>
      <c r="KY25" s="13">
        <v>46</v>
      </c>
      <c r="KZ25" s="13">
        <v>45</v>
      </c>
      <c r="LA25" s="13">
        <v>37</v>
      </c>
      <c r="LB25" s="13">
        <v>38</v>
      </c>
      <c r="LC25" s="13">
        <v>36</v>
      </c>
      <c r="LD25" s="13">
        <v>37</v>
      </c>
      <c r="LE25" s="13">
        <v>34</v>
      </c>
      <c r="LF25" s="13">
        <v>31</v>
      </c>
      <c r="LG25" s="13">
        <v>23</v>
      </c>
      <c r="LH25" s="13">
        <v>21</v>
      </c>
      <c r="LI25" s="13">
        <v>22</v>
      </c>
      <c r="LJ25" s="13">
        <v>18</v>
      </c>
      <c r="LK25" s="13">
        <v>17</v>
      </c>
      <c r="LL25" s="13">
        <v>19</v>
      </c>
      <c r="LM25" s="13">
        <v>18</v>
      </c>
      <c r="LN25" s="13">
        <v>20</v>
      </c>
      <c r="LO25" s="13">
        <v>18</v>
      </c>
      <c r="LP25" s="13">
        <v>19</v>
      </c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O25" s="19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</row>
    <row r="26" spans="1:397">
      <c r="A26" s="13" t="s">
        <v>98</v>
      </c>
      <c r="B26" s="13"/>
      <c r="C26" s="13"/>
      <c r="D26" s="13"/>
      <c r="E26" s="13"/>
      <c r="F26" s="13"/>
      <c r="G26" s="13"/>
      <c r="H26" s="13"/>
      <c r="I26" s="13"/>
      <c r="J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  <c r="DD26" s="13">
        <v>0</v>
      </c>
      <c r="DE26" s="13">
        <v>0</v>
      </c>
      <c r="DF26" s="13">
        <v>0</v>
      </c>
      <c r="DG26" s="13">
        <v>0</v>
      </c>
      <c r="DH26" s="13">
        <v>0</v>
      </c>
      <c r="DI26" s="13">
        <v>0</v>
      </c>
      <c r="DJ26" s="13">
        <v>0</v>
      </c>
      <c r="DK26" s="13">
        <v>0</v>
      </c>
      <c r="DL26" s="13">
        <v>0</v>
      </c>
      <c r="DM26" s="13">
        <v>0</v>
      </c>
      <c r="DN26" s="13">
        <v>0</v>
      </c>
      <c r="DO26" s="13">
        <v>0</v>
      </c>
      <c r="DP26" s="13">
        <v>0</v>
      </c>
      <c r="DQ26" s="13">
        <v>0</v>
      </c>
      <c r="DR26" s="13">
        <v>0</v>
      </c>
      <c r="DS26" s="13">
        <v>0</v>
      </c>
      <c r="DT26" s="13">
        <v>0</v>
      </c>
      <c r="DU26" s="16">
        <f t="shared" ref="DU26:HM26" si="236">DU25/DU22</f>
        <v>0</v>
      </c>
      <c r="DV26" s="16">
        <f t="shared" si="236"/>
        <v>0</v>
      </c>
      <c r="DW26" s="16">
        <f t="shared" si="236"/>
        <v>0</v>
      </c>
      <c r="DX26" s="16">
        <f t="shared" si="236"/>
        <v>0</v>
      </c>
      <c r="DY26" s="16">
        <f t="shared" si="236"/>
        <v>0</v>
      </c>
      <c r="DZ26" s="16">
        <f t="shared" si="236"/>
        <v>0</v>
      </c>
      <c r="EA26" s="16">
        <f t="shared" si="236"/>
        <v>0</v>
      </c>
      <c r="EB26" s="16">
        <f t="shared" si="236"/>
        <v>0</v>
      </c>
      <c r="EC26" s="16">
        <f t="shared" si="236"/>
        <v>0</v>
      </c>
      <c r="ED26" s="16">
        <f t="shared" si="236"/>
        <v>3.3478406427854036E-4</v>
      </c>
      <c r="EE26" s="16">
        <f t="shared" si="236"/>
        <v>3.3647375504710633E-4</v>
      </c>
      <c r="EF26" s="16">
        <f t="shared" si="236"/>
        <v>3.3886818027787193E-4</v>
      </c>
      <c r="EG26" s="16">
        <f t="shared" si="236"/>
        <v>3.4013605442176868E-4</v>
      </c>
      <c r="EH26" s="16">
        <f t="shared" si="236"/>
        <v>3.4094783498124785E-4</v>
      </c>
      <c r="EI26" s="16">
        <f t="shared" si="236"/>
        <v>3.4234851078397807E-4</v>
      </c>
      <c r="EJ26" s="16">
        <f t="shared" si="236"/>
        <v>3.4470872113064461E-4</v>
      </c>
      <c r="EK26" s="16">
        <f t="shared" si="236"/>
        <v>3.466204506065858E-4</v>
      </c>
      <c r="EL26" s="16">
        <f t="shared" si="236"/>
        <v>6.9565217391304353E-4</v>
      </c>
      <c r="EM26" s="16">
        <f t="shared" si="236"/>
        <v>6.9808027923211173E-4</v>
      </c>
      <c r="EN26" s="16">
        <f t="shared" si="236"/>
        <v>7.0077084793272596E-4</v>
      </c>
      <c r="EO26" s="16">
        <f t="shared" si="236"/>
        <v>7.0546737213403885E-4</v>
      </c>
      <c r="EP26" s="16">
        <f t="shared" si="236"/>
        <v>7.0846617074034714E-4</v>
      </c>
      <c r="EQ26" s="16">
        <f t="shared" si="236"/>
        <v>1.0706638115631692E-3</v>
      </c>
      <c r="ER26" s="16">
        <f t="shared" si="236"/>
        <v>1.0760401721664275E-3</v>
      </c>
      <c r="ES26" s="16">
        <f t="shared" si="236"/>
        <v>1.0818608005769925E-3</v>
      </c>
      <c r="ET26" s="16">
        <f t="shared" si="236"/>
        <v>1.08499095840868E-3</v>
      </c>
      <c r="EU26" s="16">
        <f t="shared" si="236"/>
        <v>1.0877447425670776E-3</v>
      </c>
      <c r="EV26" s="16">
        <f t="shared" si="236"/>
        <v>1.0917030567685589E-3</v>
      </c>
      <c r="EW26" s="16">
        <f t="shared" si="236"/>
        <v>7.2939460247994166E-4</v>
      </c>
      <c r="EX26" s="16">
        <f t="shared" si="236"/>
        <v>7.326007326007326E-4</v>
      </c>
      <c r="EY26" s="16">
        <f t="shared" si="236"/>
        <v>7.3529411764705881E-4</v>
      </c>
      <c r="EZ26" s="16">
        <f t="shared" si="236"/>
        <v>7.3909830007390983E-4</v>
      </c>
      <c r="FA26" s="16">
        <f t="shared" si="236"/>
        <v>3.7397157816005983E-4</v>
      </c>
      <c r="FB26" s="16">
        <f t="shared" si="236"/>
        <v>0</v>
      </c>
      <c r="FC26" s="16">
        <f t="shared" si="236"/>
        <v>3.769317753486619E-4</v>
      </c>
      <c r="FD26" s="16">
        <f t="shared" si="236"/>
        <v>3.7807183364839322E-4</v>
      </c>
      <c r="FE26" s="16">
        <f t="shared" si="236"/>
        <v>3.7950664136622391E-4</v>
      </c>
      <c r="FF26" s="16">
        <f t="shared" si="236"/>
        <v>3.8095238095238096E-4</v>
      </c>
      <c r="FG26" s="16">
        <f t="shared" si="236"/>
        <v>7.6365024818633069E-4</v>
      </c>
      <c r="FH26" s="16">
        <f t="shared" si="236"/>
        <v>7.6804915514592934E-4</v>
      </c>
      <c r="FI26" s="16">
        <f t="shared" si="236"/>
        <v>7.7011936850211781E-4</v>
      </c>
      <c r="FJ26" s="16">
        <f t="shared" si="236"/>
        <v>7.7071290944123315E-4</v>
      </c>
      <c r="FK26" s="16">
        <f t="shared" si="236"/>
        <v>7.7369439071566729E-4</v>
      </c>
      <c r="FL26" s="16">
        <f t="shared" si="236"/>
        <v>7.7730275942479595E-4</v>
      </c>
      <c r="FM26" s="16">
        <f t="shared" si="236"/>
        <v>7.8033554428404216E-4</v>
      </c>
      <c r="FN26" s="16">
        <f t="shared" si="236"/>
        <v>1.1750881316098707E-3</v>
      </c>
      <c r="FO26" s="16">
        <f t="shared" si="236"/>
        <v>1.1867088607594937E-3</v>
      </c>
      <c r="FP26" s="16">
        <f t="shared" si="236"/>
        <v>1.1918951132300357E-3</v>
      </c>
      <c r="FQ26" s="16">
        <f t="shared" si="236"/>
        <v>1.1956954962136308E-3</v>
      </c>
      <c r="FR26" s="16">
        <f t="shared" si="236"/>
        <v>1.6006402561024411E-3</v>
      </c>
      <c r="FS26" s="16">
        <f t="shared" si="236"/>
        <v>1.6116035455278001E-3</v>
      </c>
      <c r="FT26" s="16">
        <f t="shared" si="236"/>
        <v>1.6174686615446825E-3</v>
      </c>
      <c r="FU26" s="16">
        <f t="shared" si="236"/>
        <v>1.6233766233766235E-3</v>
      </c>
      <c r="FV26" s="16">
        <f t="shared" si="236"/>
        <v>1.6293279022403259E-3</v>
      </c>
      <c r="FW26" s="16">
        <f t="shared" si="236"/>
        <v>1.2259910093992644E-3</v>
      </c>
      <c r="FX26" s="16">
        <f t="shared" si="236"/>
        <v>1.2335526315789473E-3</v>
      </c>
      <c r="FY26" s="16">
        <f t="shared" si="236"/>
        <v>8.271298593879239E-4</v>
      </c>
      <c r="FZ26" s="16">
        <f t="shared" si="236"/>
        <v>8.3263946711074107E-4</v>
      </c>
      <c r="GA26" s="16">
        <f t="shared" si="236"/>
        <v>8.3682008368200832E-4</v>
      </c>
      <c r="GB26" s="16">
        <f t="shared" si="236"/>
        <v>0</v>
      </c>
      <c r="GC26" s="16">
        <f t="shared" si="236"/>
        <v>0</v>
      </c>
      <c r="GD26" s="16">
        <f t="shared" si="236"/>
        <v>0</v>
      </c>
      <c r="GE26" s="16">
        <f t="shared" si="236"/>
        <v>0</v>
      </c>
      <c r="GF26" s="16">
        <f t="shared" si="236"/>
        <v>0</v>
      </c>
      <c r="GG26" s="16">
        <f t="shared" si="236"/>
        <v>0</v>
      </c>
      <c r="GH26" s="16">
        <f t="shared" si="236"/>
        <v>0</v>
      </c>
      <c r="GI26" s="16">
        <f t="shared" si="236"/>
        <v>4.4464206313917296E-4</v>
      </c>
      <c r="GJ26" s="16">
        <f t="shared" si="236"/>
        <v>4.4903457566232598E-4</v>
      </c>
      <c r="GK26" s="16">
        <f t="shared" si="236"/>
        <v>4.512635379061372E-4</v>
      </c>
      <c r="GL26" s="16">
        <f t="shared" si="236"/>
        <v>4.5454545454545455E-4</v>
      </c>
      <c r="GM26" s="16">
        <f t="shared" si="236"/>
        <v>4.6104195481788842E-4</v>
      </c>
      <c r="GN26" s="16">
        <f t="shared" si="236"/>
        <v>4.6860356138706655E-4</v>
      </c>
      <c r="GO26" s="16">
        <f t="shared" si="236"/>
        <v>4.7036688617121356E-4</v>
      </c>
      <c r="GP26" s="16">
        <f t="shared" si="236"/>
        <v>4.7169811320754717E-4</v>
      </c>
      <c r="GQ26" s="16">
        <f t="shared" si="236"/>
        <v>4.7393364928909954E-4</v>
      </c>
      <c r="GR26" s="16">
        <f t="shared" si="236"/>
        <v>9.5102234902520212E-4</v>
      </c>
      <c r="GS26" s="16">
        <f t="shared" si="236"/>
        <v>9.5328884652049568E-4</v>
      </c>
      <c r="GT26" s="16">
        <f t="shared" si="236"/>
        <v>9.5602294455066918E-4</v>
      </c>
      <c r="GU26" s="16">
        <f t="shared" si="236"/>
        <v>1.4388489208633094E-3</v>
      </c>
      <c r="GV26" s="16">
        <f t="shared" si="236"/>
        <v>1.4499758337361043E-3</v>
      </c>
      <c r="GW26" s="16">
        <f t="shared" si="236"/>
        <v>1.454192922927775E-3</v>
      </c>
      <c r="GX26" s="16">
        <f t="shared" si="236"/>
        <v>9.7134531325886349E-4</v>
      </c>
      <c r="GY26" s="16">
        <f t="shared" si="236"/>
        <v>9.727626459143969E-4</v>
      </c>
      <c r="GZ26" s="16">
        <f t="shared" si="236"/>
        <v>9.7418412079883102E-4</v>
      </c>
      <c r="HA26" s="16">
        <f t="shared" si="236"/>
        <v>9.760858955588092E-4</v>
      </c>
      <c r="HB26" s="16">
        <f t="shared" si="236"/>
        <v>9.7799511002444979E-4</v>
      </c>
      <c r="HC26" s="16">
        <f t="shared" si="236"/>
        <v>9.8328416912487715E-4</v>
      </c>
      <c r="HD26" s="16">
        <f t="shared" si="236"/>
        <v>9.8570724494825043E-4</v>
      </c>
      <c r="HE26" s="16">
        <f t="shared" si="236"/>
        <v>9.8863074641621345E-4</v>
      </c>
      <c r="HF26" s="16">
        <f t="shared" si="236"/>
        <v>9.9009900990099011E-4</v>
      </c>
      <c r="HG26" s="16">
        <f t="shared" si="236"/>
        <v>1.488833746898263E-3</v>
      </c>
      <c r="HH26" s="16">
        <f t="shared" si="236"/>
        <v>1.4910536779324055E-3</v>
      </c>
      <c r="HI26" s="16">
        <f t="shared" si="236"/>
        <v>1.4947683109118087E-3</v>
      </c>
      <c r="HJ26" s="16">
        <f t="shared" si="236"/>
        <v>1.4970059880239522E-3</v>
      </c>
      <c r="HK26" s="16">
        <f t="shared" si="236"/>
        <v>1.5015015015015015E-3</v>
      </c>
      <c r="HL26" s="16">
        <f t="shared" si="236"/>
        <v>1.0055304172951231E-3</v>
      </c>
      <c r="HM26" s="16">
        <f t="shared" si="236"/>
        <v>1.006036217303823E-3</v>
      </c>
      <c r="HN26" s="13">
        <v>0</v>
      </c>
      <c r="HO26" s="13">
        <v>0</v>
      </c>
      <c r="HP26" s="13">
        <v>0</v>
      </c>
      <c r="HQ26" s="13">
        <v>0</v>
      </c>
      <c r="HR26" s="13">
        <v>0</v>
      </c>
      <c r="HS26" s="13">
        <v>0</v>
      </c>
      <c r="HT26" s="13">
        <v>0</v>
      </c>
      <c r="HU26" s="13">
        <v>0</v>
      </c>
      <c r="HV26" s="13">
        <v>0</v>
      </c>
      <c r="HW26" s="13">
        <v>0</v>
      </c>
      <c r="HX26" s="13">
        <v>0</v>
      </c>
      <c r="HY26" s="13">
        <v>0</v>
      </c>
      <c r="HZ26" s="13">
        <v>0</v>
      </c>
      <c r="IA26" s="13">
        <v>0</v>
      </c>
      <c r="IB26" s="13">
        <v>0</v>
      </c>
      <c r="IC26" s="16">
        <f t="shared" ref="IC26:IH26" si="237">IC25/IC22</f>
        <v>5.243838489774515E-4</v>
      </c>
      <c r="ID26" s="16">
        <f t="shared" si="237"/>
        <v>5.2576235541535224E-4</v>
      </c>
      <c r="IE26" s="16">
        <f t="shared" si="237"/>
        <v>5.2659294365455498E-4</v>
      </c>
      <c r="IF26" s="16">
        <f t="shared" si="237"/>
        <v>5.2770448548812663E-4</v>
      </c>
      <c r="IG26" s="16">
        <f t="shared" si="237"/>
        <v>5.2826201796090863E-4</v>
      </c>
      <c r="IH26" s="16">
        <f t="shared" si="237"/>
        <v>5.2966101694915254E-4</v>
      </c>
      <c r="II26" s="13">
        <v>0</v>
      </c>
      <c r="IJ26" s="13">
        <v>0</v>
      </c>
      <c r="IK26" s="13">
        <v>0</v>
      </c>
      <c r="IL26" s="16">
        <f t="shared" ref="IL26:IU26" si="238">IL25/IL22</f>
        <v>0</v>
      </c>
      <c r="IM26" s="16">
        <f t="shared" si="238"/>
        <v>0</v>
      </c>
      <c r="IN26" s="16">
        <f t="shared" si="238"/>
        <v>0</v>
      </c>
      <c r="IO26" s="16">
        <f t="shared" si="238"/>
        <v>0</v>
      </c>
      <c r="IP26" s="16">
        <f t="shared" si="238"/>
        <v>0</v>
      </c>
      <c r="IQ26" s="16">
        <f t="shared" si="238"/>
        <v>0</v>
      </c>
      <c r="IR26" s="16">
        <f t="shared" si="238"/>
        <v>0</v>
      </c>
      <c r="IS26" s="16">
        <f t="shared" si="238"/>
        <v>0</v>
      </c>
      <c r="IT26" s="16">
        <f t="shared" si="238"/>
        <v>0</v>
      </c>
      <c r="IU26" s="16">
        <f t="shared" si="238"/>
        <v>0</v>
      </c>
      <c r="IV26" s="16">
        <f t="shared" ref="IV26" si="239">IV25/IV22</f>
        <v>0</v>
      </c>
      <c r="IW26" s="16">
        <f t="shared" ref="IW26:JC26" si="240">IW25/IW22</f>
        <v>0</v>
      </c>
      <c r="IX26" s="16">
        <f t="shared" si="240"/>
        <v>0</v>
      </c>
      <c r="IY26" s="16">
        <f t="shared" si="240"/>
        <v>0</v>
      </c>
      <c r="IZ26" s="16">
        <f t="shared" si="240"/>
        <v>0</v>
      </c>
      <c r="JA26" s="16">
        <f t="shared" si="240"/>
        <v>0</v>
      </c>
      <c r="JB26" s="16">
        <f t="shared" si="240"/>
        <v>0</v>
      </c>
      <c r="JC26" s="16">
        <f t="shared" si="240"/>
        <v>0</v>
      </c>
      <c r="JD26" s="16">
        <f t="shared" ref="JD26:JH26" si="241">JD25/JD22</f>
        <v>0</v>
      </c>
      <c r="JE26" s="16">
        <f t="shared" si="241"/>
        <v>0</v>
      </c>
      <c r="JF26" s="16">
        <f t="shared" si="241"/>
        <v>0</v>
      </c>
      <c r="JG26" s="16">
        <f t="shared" si="241"/>
        <v>0</v>
      </c>
      <c r="JH26" s="16">
        <f t="shared" si="241"/>
        <v>0</v>
      </c>
      <c r="JI26" s="16">
        <f t="shared" ref="JI26:LP26" si="242">JI25/JI22</f>
        <v>0</v>
      </c>
      <c r="JJ26" s="16">
        <f t="shared" si="242"/>
        <v>0</v>
      </c>
      <c r="JK26" s="16">
        <f t="shared" si="242"/>
        <v>5.7770075101097628E-4</v>
      </c>
      <c r="JL26" s="16">
        <f t="shared" si="242"/>
        <v>5.8004640371229696E-4</v>
      </c>
      <c r="JM26" s="16">
        <f t="shared" si="242"/>
        <v>5.837711617046118E-4</v>
      </c>
      <c r="JN26" s="16">
        <f t="shared" si="242"/>
        <v>1.1689070718877848E-3</v>
      </c>
      <c r="JO26" s="16">
        <f t="shared" si="242"/>
        <v>1.1689070718877848E-3</v>
      </c>
      <c r="JP26" s="16">
        <f t="shared" si="242"/>
        <v>1.1702750146284377E-3</v>
      </c>
      <c r="JQ26" s="16">
        <f t="shared" si="242"/>
        <v>1.17096018735363E-3</v>
      </c>
      <c r="JR26" s="16">
        <f t="shared" si="242"/>
        <v>1.7574692442882249E-3</v>
      </c>
      <c r="JS26" s="16">
        <f t="shared" si="242"/>
        <v>1.1737089201877935E-3</v>
      </c>
      <c r="JT26" s="16">
        <f t="shared" si="242"/>
        <v>1.7647058823529412E-3</v>
      </c>
      <c r="JU26" s="16">
        <f t="shared" si="242"/>
        <v>1.7667844522968198E-3</v>
      </c>
      <c r="JV26" s="16">
        <f t="shared" si="242"/>
        <v>1.7730496453900709E-3</v>
      </c>
      <c r="JW26" s="16">
        <f t="shared" si="242"/>
        <v>1.7730496453900709E-3</v>
      </c>
      <c r="JX26" s="16">
        <f t="shared" si="242"/>
        <v>1.7730496453900709E-3</v>
      </c>
      <c r="JY26" s="16">
        <f t="shared" si="242"/>
        <v>1.7740981667652277E-3</v>
      </c>
      <c r="JZ26" s="16">
        <f t="shared" si="242"/>
        <v>1.7751479289940828E-3</v>
      </c>
      <c r="KA26" s="16">
        <f t="shared" si="242"/>
        <v>1.7825311942959001E-3</v>
      </c>
      <c r="KB26" s="16">
        <f t="shared" si="242"/>
        <v>2.9744199881023199E-3</v>
      </c>
      <c r="KC26" s="16">
        <f t="shared" si="242"/>
        <v>2.976190476190476E-3</v>
      </c>
      <c r="KD26" s="16">
        <f t="shared" si="242"/>
        <v>2.976190476190476E-3</v>
      </c>
      <c r="KE26" s="16">
        <f t="shared" si="242"/>
        <v>2.9797377830750892E-3</v>
      </c>
      <c r="KF26" s="16">
        <f t="shared" si="242"/>
        <v>2.9832935560859188E-3</v>
      </c>
      <c r="KG26" s="16">
        <f t="shared" si="242"/>
        <v>2.9850746268656717E-3</v>
      </c>
      <c r="KH26" s="16">
        <f t="shared" si="242"/>
        <v>3.5885167464114833E-3</v>
      </c>
      <c r="KI26" s="16">
        <f t="shared" si="242"/>
        <v>4.1891083183722318E-3</v>
      </c>
      <c r="KJ26" s="16">
        <f t="shared" si="242"/>
        <v>4.1916167664670656E-3</v>
      </c>
      <c r="KK26" s="16">
        <f t="shared" si="242"/>
        <v>7.8125E-3</v>
      </c>
      <c r="KL26" s="16">
        <f t="shared" si="242"/>
        <v>1.3253012048192771E-2</v>
      </c>
      <c r="KM26" s="16">
        <f t="shared" si="242"/>
        <v>1.2812690665039659E-2</v>
      </c>
      <c r="KN26" s="16">
        <f t="shared" si="242"/>
        <v>1.3447432762836185E-2</v>
      </c>
      <c r="KO26" s="16">
        <f t="shared" si="242"/>
        <v>1.346389228886169E-2</v>
      </c>
      <c r="KP26" s="16">
        <f t="shared" si="242"/>
        <v>1.5346838551258441E-2</v>
      </c>
      <c r="KQ26" s="16">
        <f t="shared" si="242"/>
        <v>1.9777503090234856E-2</v>
      </c>
      <c r="KR26" s="16">
        <f t="shared" si="242"/>
        <v>2.2896039603960396E-2</v>
      </c>
      <c r="KS26" s="16">
        <f t="shared" si="242"/>
        <v>2.546583850931677E-2</v>
      </c>
      <c r="KT26" s="16">
        <f t="shared" si="242"/>
        <v>2.7725267800882167E-2</v>
      </c>
      <c r="KU26" s="16">
        <f t="shared" si="242"/>
        <v>2.7163613392293114E-2</v>
      </c>
      <c r="KV26" s="16">
        <f t="shared" si="242"/>
        <v>2.9841269841269842E-2</v>
      </c>
      <c r="KW26" s="16">
        <f t="shared" si="242"/>
        <v>3.0012771392081736E-2</v>
      </c>
      <c r="KX26" s="16">
        <f t="shared" si="242"/>
        <v>2.9051000645577793E-2</v>
      </c>
      <c r="KY26" s="16">
        <f t="shared" si="242"/>
        <v>2.9986962190352021E-2</v>
      </c>
      <c r="KZ26" s="16">
        <f t="shared" si="242"/>
        <v>0.03</v>
      </c>
      <c r="LA26" s="16">
        <f t="shared" si="242"/>
        <v>2.5273224043715847E-2</v>
      </c>
      <c r="LB26" s="16">
        <f t="shared" si="242"/>
        <v>2.7576197387518143E-2</v>
      </c>
      <c r="LC26" s="16">
        <f t="shared" si="242"/>
        <v>2.8125000000000001E-2</v>
      </c>
      <c r="LD26" s="16">
        <f t="shared" si="242"/>
        <v>3.127641589180051E-2</v>
      </c>
      <c r="LE26" s="16">
        <f t="shared" si="242"/>
        <v>2.9798422436459245E-2</v>
      </c>
      <c r="LF26" s="16">
        <f t="shared" si="242"/>
        <v>2.8105167724388033E-2</v>
      </c>
      <c r="LG26" s="16">
        <f t="shared" si="242"/>
        <v>2.2072936660268713E-2</v>
      </c>
      <c r="LH26" s="16">
        <f t="shared" si="242"/>
        <v>2.1363173957273652E-2</v>
      </c>
      <c r="LI26" s="16">
        <f t="shared" si="242"/>
        <v>2.3133543638275498E-2</v>
      </c>
      <c r="LJ26" s="16">
        <f t="shared" si="242"/>
        <v>1.9715224534501644E-2</v>
      </c>
      <c r="LK26" s="16">
        <f t="shared" si="242"/>
        <v>1.9144144144144143E-2</v>
      </c>
      <c r="LL26" s="16">
        <f t="shared" si="242"/>
        <v>2.1839080459770115E-2</v>
      </c>
      <c r="LM26" s="16">
        <f t="shared" si="242"/>
        <v>2.1403091557669441E-2</v>
      </c>
      <c r="LN26" s="16">
        <f t="shared" si="242"/>
        <v>2.4813895781637719E-2</v>
      </c>
      <c r="LO26" s="16">
        <f t="shared" si="242"/>
        <v>2.3346303501945526E-2</v>
      </c>
      <c r="LP26" s="16">
        <f t="shared" si="242"/>
        <v>2.6279391424619641E-2</v>
      </c>
      <c r="LQ26" s="13"/>
      <c r="LR26" s="13"/>
      <c r="LS26" s="13"/>
      <c r="LT26" s="13"/>
      <c r="LU26" s="13"/>
      <c r="LV26" s="13"/>
      <c r="LW26" s="13"/>
      <c r="LX26" s="13"/>
      <c r="LY26" s="13"/>
      <c r="LZ26" s="13"/>
      <c r="MA26" s="13"/>
      <c r="MB26" s="13"/>
      <c r="MC26" s="13"/>
      <c r="MD26" s="13"/>
      <c r="ME26" s="13"/>
      <c r="MF26" s="13"/>
      <c r="MG26" s="13"/>
      <c r="MH26" s="13"/>
      <c r="MI26" s="13"/>
      <c r="MJ26" s="13"/>
      <c r="MK26" s="13"/>
      <c r="ML26" s="13"/>
      <c r="MM26" s="13"/>
      <c r="MN26" s="13"/>
      <c r="MO26" s="19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16"/>
      <c r="NI26" s="16"/>
      <c r="NJ26" s="16"/>
      <c r="NK26" s="16"/>
      <c r="NL26" s="16"/>
      <c r="NM26" s="16"/>
      <c r="NN26" s="16"/>
      <c r="NO26" s="16"/>
      <c r="NP26" s="16"/>
      <c r="NQ26" s="16"/>
      <c r="NR26" s="16"/>
      <c r="NS26" s="16"/>
      <c r="NT26" s="16"/>
      <c r="NU26" s="16"/>
      <c r="NV26" s="16"/>
      <c r="NW26" s="16"/>
      <c r="NX26" s="16"/>
      <c r="NY26" s="16"/>
      <c r="NZ26" s="16"/>
      <c r="OA26" s="16"/>
      <c r="OB26" s="16"/>
      <c r="OC26" s="16"/>
      <c r="OD26" s="16"/>
      <c r="OE26" s="16"/>
      <c r="OF26" s="16"/>
      <c r="OG26" s="16"/>
    </row>
    <row r="27" spans="1:397">
      <c r="A27" s="13" t="s">
        <v>103</v>
      </c>
      <c r="B27" s="13">
        <v>8</v>
      </c>
      <c r="C27" s="13">
        <v>20</v>
      </c>
      <c r="D27" s="13">
        <v>6</v>
      </c>
      <c r="E27" s="13">
        <v>11</v>
      </c>
      <c r="F27" s="13">
        <v>10</v>
      </c>
      <c r="G27" s="13">
        <v>17</v>
      </c>
      <c r="H27" s="13">
        <v>14</v>
      </c>
      <c r="I27" s="13">
        <v>8</v>
      </c>
      <c r="J27" s="13">
        <v>16</v>
      </c>
      <c r="K27">
        <v>7</v>
      </c>
      <c r="L27" s="13">
        <v>15</v>
      </c>
      <c r="M27" s="13">
        <v>16</v>
      </c>
      <c r="N27" s="13">
        <v>13</v>
      </c>
      <c r="O27" s="13">
        <v>10</v>
      </c>
      <c r="P27" s="13">
        <v>28</v>
      </c>
      <c r="Q27" s="13">
        <v>12</v>
      </c>
      <c r="R27" s="13">
        <v>12</v>
      </c>
      <c r="S27" s="13">
        <v>15</v>
      </c>
      <c r="T27" s="13">
        <v>16</v>
      </c>
      <c r="U27" s="13">
        <v>19</v>
      </c>
      <c r="V27" s="13">
        <v>16</v>
      </c>
      <c r="W27" s="13">
        <v>42</v>
      </c>
      <c r="X27" s="13">
        <v>41</v>
      </c>
      <c r="Y27" s="13">
        <v>61</v>
      </c>
      <c r="Z27" s="13">
        <v>57</v>
      </c>
      <c r="AA27" s="13">
        <v>45</v>
      </c>
      <c r="AB27" s="13">
        <v>92</v>
      </c>
      <c r="AC27" s="13">
        <v>99</v>
      </c>
      <c r="AD27" s="13">
        <v>119</v>
      </c>
      <c r="AE27" s="13">
        <v>113</v>
      </c>
      <c r="AF27" s="13">
        <v>58</v>
      </c>
      <c r="AG27" s="13">
        <v>91</v>
      </c>
      <c r="AH27" s="13">
        <v>115</v>
      </c>
      <c r="AI27" s="13">
        <v>119</v>
      </c>
      <c r="AJ27" s="13">
        <v>79</v>
      </c>
      <c r="AK27" s="13">
        <v>66</v>
      </c>
      <c r="AL27" s="13">
        <v>78</v>
      </c>
      <c r="AM27" s="13">
        <v>38</v>
      </c>
      <c r="AN27" s="13">
        <v>81</v>
      </c>
      <c r="AO27" s="13">
        <v>76</v>
      </c>
      <c r="AP27" s="13">
        <v>27</v>
      </c>
      <c r="AQ27" s="13">
        <v>38</v>
      </c>
      <c r="AR27" s="13">
        <v>57</v>
      </c>
      <c r="AS27" s="13">
        <v>79</v>
      </c>
      <c r="AT27" s="13">
        <v>64</v>
      </c>
      <c r="AU27" s="13">
        <v>37</v>
      </c>
      <c r="AV27" s="13">
        <v>40</v>
      </c>
      <c r="AW27" s="13">
        <v>8</v>
      </c>
      <c r="AX27" s="13">
        <v>21</v>
      </c>
      <c r="AY27" s="13">
        <v>19</v>
      </c>
      <c r="AZ27" s="13">
        <v>8</v>
      </c>
      <c r="BA27" s="13">
        <v>17</v>
      </c>
      <c r="BB27" s="13">
        <v>8</v>
      </c>
      <c r="BC27" s="13">
        <v>20</v>
      </c>
      <c r="BD27" s="13">
        <v>15</v>
      </c>
      <c r="BE27" s="13">
        <v>19</v>
      </c>
      <c r="BF27" s="13">
        <v>17</v>
      </c>
      <c r="BG27" s="13">
        <v>19</v>
      </c>
      <c r="BH27" s="13">
        <v>14</v>
      </c>
      <c r="BI27" s="13">
        <v>17</v>
      </c>
      <c r="BJ27" s="13">
        <v>15</v>
      </c>
      <c r="BK27" s="13">
        <v>10</v>
      </c>
      <c r="BL27" s="13">
        <v>16</v>
      </c>
      <c r="BM27" s="13">
        <v>11</v>
      </c>
      <c r="BN27" s="13">
        <v>6</v>
      </c>
      <c r="BO27" s="13">
        <v>9</v>
      </c>
      <c r="BP27" s="13">
        <v>8</v>
      </c>
      <c r="BQ27" s="13">
        <v>9</v>
      </c>
      <c r="BR27" s="13">
        <v>14</v>
      </c>
      <c r="BS27" s="13">
        <v>17</v>
      </c>
      <c r="BT27" s="13">
        <v>7</v>
      </c>
      <c r="BU27" s="13">
        <v>5</v>
      </c>
      <c r="BV27" s="13">
        <v>1</v>
      </c>
      <c r="BW27" s="13">
        <v>5</v>
      </c>
      <c r="BX27" s="13">
        <v>6</v>
      </c>
      <c r="BY27" s="13">
        <v>2</v>
      </c>
      <c r="BZ27" s="13">
        <v>12</v>
      </c>
      <c r="CA27" s="13">
        <v>12</v>
      </c>
      <c r="CB27" s="13">
        <v>6</v>
      </c>
      <c r="CC27" s="13">
        <v>3</v>
      </c>
      <c r="CD27" s="13">
        <v>5</v>
      </c>
      <c r="CE27" s="13">
        <v>17</v>
      </c>
      <c r="CF27" s="13">
        <v>10</v>
      </c>
      <c r="CG27" s="13">
        <v>4</v>
      </c>
      <c r="CH27" s="13">
        <v>8</v>
      </c>
      <c r="CI27" s="13">
        <v>5</v>
      </c>
      <c r="CJ27" s="13">
        <v>6</v>
      </c>
      <c r="CK27" s="13">
        <v>8</v>
      </c>
      <c r="CL27" s="13">
        <v>10</v>
      </c>
      <c r="CM27" s="13">
        <v>11</v>
      </c>
      <c r="CN27" s="13">
        <v>18</v>
      </c>
      <c r="CO27" s="13">
        <v>14</v>
      </c>
      <c r="CP27" s="13">
        <v>10</v>
      </c>
      <c r="CQ27" s="13">
        <v>5</v>
      </c>
      <c r="CR27" s="13">
        <v>12</v>
      </c>
      <c r="CS27" s="13">
        <v>14</v>
      </c>
      <c r="CT27" s="13">
        <v>6</v>
      </c>
      <c r="CU27" s="13">
        <v>10</v>
      </c>
      <c r="CV27" s="13">
        <v>15</v>
      </c>
      <c r="CW27" s="13">
        <v>6</v>
      </c>
      <c r="CX27" s="13">
        <v>15</v>
      </c>
      <c r="CY27" s="13">
        <v>25</v>
      </c>
      <c r="CZ27" s="13">
        <v>9</v>
      </c>
      <c r="DA27" s="13">
        <v>36</v>
      </c>
      <c r="DB27" s="13">
        <v>27</v>
      </c>
      <c r="DC27" s="13">
        <v>33</v>
      </c>
      <c r="DD27" s="13">
        <v>24</v>
      </c>
      <c r="DE27" s="13">
        <v>128</v>
      </c>
      <c r="DF27" s="13">
        <v>61</v>
      </c>
      <c r="DG27" s="13">
        <v>30</v>
      </c>
      <c r="DH27" s="13">
        <v>69</v>
      </c>
      <c r="DI27" s="13">
        <v>38</v>
      </c>
      <c r="DJ27" s="13">
        <v>53</v>
      </c>
      <c r="DK27" s="13">
        <v>16</v>
      </c>
      <c r="DL27" s="13">
        <v>38</v>
      </c>
      <c r="DM27" s="13">
        <v>50</v>
      </c>
      <c r="DN27" s="13">
        <v>161</v>
      </c>
      <c r="DO27" s="13">
        <v>19</v>
      </c>
      <c r="DP27" s="13">
        <v>27</v>
      </c>
      <c r="DQ27" s="13">
        <v>11</v>
      </c>
      <c r="DR27" s="13">
        <v>25</v>
      </c>
      <c r="DS27" s="13">
        <v>15</v>
      </c>
      <c r="DT27" s="13">
        <v>24</v>
      </c>
      <c r="DU27" s="13">
        <v>33</v>
      </c>
      <c r="DV27" s="13">
        <v>34</v>
      </c>
      <c r="DW27" s="13">
        <v>11</v>
      </c>
      <c r="DX27" s="13">
        <v>10</v>
      </c>
      <c r="DY27" s="13">
        <v>23</v>
      </c>
      <c r="DZ27" s="13">
        <v>18</v>
      </c>
      <c r="EA27" s="13">
        <v>17</v>
      </c>
      <c r="EB27" s="13">
        <v>32</v>
      </c>
      <c r="EC27" s="13">
        <v>23</v>
      </c>
      <c r="ED27" s="13">
        <v>39</v>
      </c>
      <c r="EE27" s="13">
        <v>15</v>
      </c>
      <c r="EF27" s="13">
        <v>8</v>
      </c>
      <c r="EG27" s="13">
        <v>24</v>
      </c>
      <c r="EH27" s="13">
        <v>31</v>
      </c>
      <c r="EI27" s="13">
        <v>27</v>
      </c>
      <c r="EJ27" s="13">
        <v>26</v>
      </c>
      <c r="EK27" s="13">
        <v>12</v>
      </c>
      <c r="EL27" s="13">
        <v>33</v>
      </c>
      <c r="EM27" s="13">
        <v>10</v>
      </c>
      <c r="EN27" s="13">
        <v>22</v>
      </c>
      <c r="EO27" s="13">
        <v>26</v>
      </c>
      <c r="EP27" s="13">
        <v>14</v>
      </c>
      <c r="EQ27" s="13">
        <v>26</v>
      </c>
      <c r="ER27" s="13">
        <v>30</v>
      </c>
      <c r="ES27" s="13">
        <v>18</v>
      </c>
      <c r="ET27" s="13">
        <v>20</v>
      </c>
      <c r="EU27" s="13">
        <v>18</v>
      </c>
      <c r="EV27" s="13">
        <v>15</v>
      </c>
      <c r="EW27" s="13">
        <v>25</v>
      </c>
      <c r="EX27" s="13">
        <v>21</v>
      </c>
      <c r="EY27" s="13">
        <v>24</v>
      </c>
      <c r="EZ27" s="13">
        <v>20</v>
      </c>
      <c r="FA27" s="13">
        <v>14</v>
      </c>
      <c r="FB27" s="13">
        <v>16</v>
      </c>
      <c r="FC27" s="13">
        <v>9</v>
      </c>
      <c r="FD27" s="13">
        <v>39</v>
      </c>
      <c r="FE27" s="13">
        <v>70</v>
      </c>
      <c r="FF27" s="13">
        <v>8</v>
      </c>
      <c r="FG27" s="13">
        <v>22</v>
      </c>
      <c r="FH27" s="13">
        <v>15</v>
      </c>
      <c r="FI27" s="13">
        <v>8</v>
      </c>
      <c r="FJ27" s="13">
        <v>13</v>
      </c>
      <c r="FK27" s="13">
        <v>17</v>
      </c>
      <c r="FL27" s="13">
        <v>17</v>
      </c>
      <c r="FM27" s="13">
        <v>8</v>
      </c>
      <c r="FN27" s="13">
        <v>26</v>
      </c>
      <c r="FO27" s="13">
        <v>12</v>
      </c>
      <c r="FP27" s="13">
        <v>19</v>
      </c>
      <c r="FQ27" s="13">
        <v>34</v>
      </c>
      <c r="FR27" s="13">
        <v>19</v>
      </c>
      <c r="FS27" s="13">
        <v>4</v>
      </c>
      <c r="FT27" s="13">
        <v>10</v>
      </c>
      <c r="FU27" s="13">
        <v>16</v>
      </c>
      <c r="FV27" s="13">
        <v>19</v>
      </c>
      <c r="FW27" s="13">
        <v>14</v>
      </c>
      <c r="FX27" s="13">
        <v>16</v>
      </c>
      <c r="FY27" s="13">
        <v>27</v>
      </c>
      <c r="FZ27" s="13">
        <v>15</v>
      </c>
      <c r="GA27" s="13">
        <v>34</v>
      </c>
      <c r="GB27" s="13">
        <v>23</v>
      </c>
      <c r="GC27" s="13">
        <v>22</v>
      </c>
      <c r="GD27" s="13">
        <v>14</v>
      </c>
      <c r="GE27" s="13">
        <v>17</v>
      </c>
      <c r="GF27" s="13">
        <v>37</v>
      </c>
      <c r="GG27" s="13">
        <v>16</v>
      </c>
      <c r="GH27" s="13">
        <v>20</v>
      </c>
      <c r="GI27" s="13">
        <v>28</v>
      </c>
      <c r="GJ27" s="13">
        <v>20</v>
      </c>
      <c r="GK27" s="13">
        <v>20</v>
      </c>
      <c r="GL27" s="13">
        <v>17</v>
      </c>
      <c r="GM27" s="13">
        <v>31</v>
      </c>
      <c r="GN27" s="13">
        <v>11</v>
      </c>
      <c r="GO27" s="13">
        <v>14</v>
      </c>
      <c r="GP27" s="13">
        <v>14</v>
      </c>
      <c r="GQ27" s="13">
        <v>20</v>
      </c>
      <c r="GR27" s="13">
        <v>24</v>
      </c>
      <c r="GS27" s="13">
        <v>21</v>
      </c>
      <c r="GT27" s="13">
        <v>11</v>
      </c>
      <c r="GU27" s="13">
        <v>20</v>
      </c>
      <c r="GV27" s="13">
        <v>23</v>
      </c>
      <c r="GW27" s="13">
        <v>11</v>
      </c>
      <c r="GX27" s="13">
        <v>21</v>
      </c>
      <c r="GY27" s="13">
        <v>27</v>
      </c>
      <c r="GZ27" s="13">
        <v>34</v>
      </c>
      <c r="HA27" s="13">
        <v>44</v>
      </c>
      <c r="HB27" s="13">
        <v>68</v>
      </c>
      <c r="HC27" s="13">
        <v>74</v>
      </c>
      <c r="HD27" s="13">
        <v>43</v>
      </c>
      <c r="HE27" s="13">
        <v>31</v>
      </c>
      <c r="HF27" s="13">
        <v>22</v>
      </c>
      <c r="HG27" s="13">
        <v>6</v>
      </c>
      <c r="HH27" s="13">
        <v>13</v>
      </c>
      <c r="HI27" s="13">
        <v>42</v>
      </c>
      <c r="HJ27" s="13">
        <v>14</v>
      </c>
      <c r="HK27" s="13">
        <v>5</v>
      </c>
      <c r="HL27" s="13">
        <v>2</v>
      </c>
      <c r="HM27" s="13">
        <v>4</v>
      </c>
      <c r="HN27" s="13">
        <v>5</v>
      </c>
      <c r="HO27" s="13">
        <v>6</v>
      </c>
      <c r="HP27" s="13">
        <v>5</v>
      </c>
      <c r="HQ27" s="13">
        <v>4</v>
      </c>
      <c r="HR27" s="13">
        <v>3</v>
      </c>
      <c r="HS27" s="13">
        <v>6</v>
      </c>
      <c r="HT27" s="13">
        <v>6</v>
      </c>
      <c r="HU27" s="13">
        <v>15</v>
      </c>
      <c r="HV27" s="13">
        <v>11</v>
      </c>
      <c r="HW27" s="13">
        <v>7</v>
      </c>
      <c r="HX27" s="13">
        <v>4</v>
      </c>
      <c r="HY27" s="13">
        <v>4</v>
      </c>
      <c r="HZ27" s="13">
        <v>2</v>
      </c>
      <c r="IA27" s="13">
        <v>3</v>
      </c>
      <c r="IB27" s="13">
        <v>4</v>
      </c>
      <c r="IC27" s="13">
        <v>6</v>
      </c>
      <c r="ID27" s="13">
        <v>7</v>
      </c>
      <c r="IE27" s="13">
        <v>12</v>
      </c>
      <c r="IF27" s="13">
        <v>5</v>
      </c>
      <c r="IG27" s="13">
        <v>1</v>
      </c>
      <c r="IH27" s="13">
        <v>3</v>
      </c>
      <c r="II27" s="13">
        <v>7</v>
      </c>
      <c r="IJ27" s="13">
        <v>7</v>
      </c>
      <c r="IK27" s="13">
        <v>6</v>
      </c>
      <c r="IL27" s="13">
        <v>7</v>
      </c>
      <c r="IM27" s="13">
        <v>5</v>
      </c>
      <c r="IN27" s="13">
        <v>8</v>
      </c>
      <c r="IO27" s="13">
        <v>11</v>
      </c>
      <c r="IP27" s="13">
        <v>6</v>
      </c>
      <c r="IQ27" s="13">
        <v>18</v>
      </c>
      <c r="IR27" s="13">
        <v>9</v>
      </c>
      <c r="IS27" s="13">
        <v>7</v>
      </c>
      <c r="IT27" s="13">
        <v>1</v>
      </c>
      <c r="IU27" s="13">
        <v>4</v>
      </c>
      <c r="IV27" s="13">
        <v>5</v>
      </c>
      <c r="IW27" s="13">
        <v>21</v>
      </c>
      <c r="IX27" s="13">
        <v>2</v>
      </c>
      <c r="IY27" s="13">
        <v>5</v>
      </c>
      <c r="IZ27" s="13">
        <v>2</v>
      </c>
      <c r="JA27" s="13">
        <v>3</v>
      </c>
      <c r="JB27" s="13">
        <v>4</v>
      </c>
      <c r="JC27" s="13">
        <v>4</v>
      </c>
      <c r="JD27" s="13">
        <v>10</v>
      </c>
      <c r="JE27" s="13">
        <v>16</v>
      </c>
      <c r="JF27" s="13">
        <v>3</v>
      </c>
      <c r="JG27" s="13">
        <v>4</v>
      </c>
      <c r="JH27" s="13">
        <v>5</v>
      </c>
      <c r="JI27" s="13">
        <v>23</v>
      </c>
      <c r="JJ27" s="13">
        <v>28</v>
      </c>
      <c r="JK27" s="13">
        <v>29</v>
      </c>
      <c r="JL27" s="13">
        <v>40</v>
      </c>
      <c r="JM27" s="13">
        <v>36</v>
      </c>
      <c r="JN27" s="13">
        <v>28</v>
      </c>
      <c r="JO27" s="13">
        <v>35</v>
      </c>
      <c r="JP27" s="13">
        <v>31</v>
      </c>
      <c r="JQ27" s="13">
        <v>16</v>
      </c>
      <c r="JR27" s="13">
        <v>17</v>
      </c>
      <c r="JS27" s="13">
        <v>18</v>
      </c>
      <c r="JT27" s="13">
        <v>12</v>
      </c>
      <c r="JU27" s="13">
        <v>13</v>
      </c>
      <c r="JV27" s="13">
        <v>11</v>
      </c>
      <c r="JW27" s="13">
        <v>12</v>
      </c>
      <c r="JX27" s="13">
        <v>8</v>
      </c>
      <c r="JY27" s="13">
        <v>15</v>
      </c>
      <c r="JZ27" s="13">
        <v>12</v>
      </c>
      <c r="KA27" s="13">
        <v>20</v>
      </c>
      <c r="KB27" s="13">
        <v>15</v>
      </c>
      <c r="KC27" s="13">
        <v>16</v>
      </c>
      <c r="KD27" s="13">
        <v>6</v>
      </c>
      <c r="KE27" s="13">
        <v>20</v>
      </c>
      <c r="KF27" s="13">
        <v>15</v>
      </c>
      <c r="KG27" s="13">
        <v>13</v>
      </c>
      <c r="KH27" s="13">
        <v>12</v>
      </c>
      <c r="KI27" s="13">
        <v>20</v>
      </c>
      <c r="KJ27" s="13">
        <v>25</v>
      </c>
      <c r="KK27" s="13">
        <v>33</v>
      </c>
      <c r="KL27" s="13">
        <v>26</v>
      </c>
      <c r="KM27" s="13">
        <v>40</v>
      </c>
      <c r="KN27" s="13">
        <v>25</v>
      </c>
      <c r="KO27" s="13">
        <v>30</v>
      </c>
      <c r="KP27" s="13">
        <v>29</v>
      </c>
      <c r="KQ27" s="13">
        <v>34</v>
      </c>
      <c r="KR27" s="13">
        <v>27</v>
      </c>
      <c r="KS27" s="13">
        <v>42</v>
      </c>
      <c r="KT27" s="13">
        <v>37</v>
      </c>
      <c r="KU27" s="13">
        <v>49</v>
      </c>
      <c r="KV27" s="13">
        <v>44</v>
      </c>
      <c r="KW27" s="13">
        <v>54</v>
      </c>
      <c r="KX27" s="13">
        <v>66</v>
      </c>
      <c r="KY27" s="13">
        <v>64</v>
      </c>
      <c r="KZ27" s="13">
        <v>57</v>
      </c>
      <c r="LA27" s="13">
        <v>54</v>
      </c>
      <c r="LB27" s="13">
        <v>61</v>
      </c>
      <c r="LC27" s="13">
        <v>63</v>
      </c>
      <c r="LD27" s="13">
        <v>34</v>
      </c>
      <c r="LE27" s="13">
        <v>47</v>
      </c>
      <c r="LF27" s="13">
        <v>56</v>
      </c>
      <c r="LG27" s="13">
        <v>137</v>
      </c>
      <c r="LH27" s="13">
        <v>30</v>
      </c>
      <c r="LI27" s="13">
        <v>78</v>
      </c>
      <c r="LJ27" s="13">
        <v>47</v>
      </c>
      <c r="LK27" s="13">
        <v>64</v>
      </c>
      <c r="LL27" s="13">
        <v>60</v>
      </c>
      <c r="LM27" s="13">
        <v>55</v>
      </c>
      <c r="LN27" s="13">
        <v>130</v>
      </c>
      <c r="LO27" s="13"/>
      <c r="LP27" s="16"/>
      <c r="LQ27" s="13"/>
      <c r="LR27" s="13"/>
      <c r="LS27" s="13"/>
      <c r="LT27" s="13"/>
      <c r="LU27" s="13"/>
      <c r="LV27" s="13"/>
      <c r="LW27" s="13"/>
      <c r="LX27" s="13"/>
      <c r="LY27" s="13"/>
      <c r="LZ27" s="13"/>
      <c r="MA27" s="13"/>
      <c r="MB27" s="13"/>
      <c r="MC27" s="13"/>
      <c r="MD27" s="13"/>
      <c r="ME27" s="13"/>
      <c r="MF27" s="13"/>
      <c r="MG27" s="13"/>
      <c r="MH27" s="13"/>
      <c r="MI27" s="13"/>
      <c r="MJ27" s="13"/>
      <c r="MK27" s="13"/>
      <c r="ML27" s="13"/>
      <c r="MM27" s="13"/>
      <c r="MN27" s="13"/>
      <c r="MO27" s="19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16"/>
      <c r="NI27" s="16"/>
      <c r="NJ27" s="16"/>
      <c r="NK27" s="16"/>
      <c r="NL27" s="16"/>
      <c r="NM27" s="16"/>
      <c r="NN27" s="16"/>
      <c r="NO27" s="16"/>
      <c r="NP27" s="16"/>
      <c r="NQ27" s="16"/>
      <c r="NR27" s="16"/>
      <c r="NS27" s="16"/>
      <c r="NT27" s="16"/>
      <c r="NU27" s="16"/>
      <c r="NV27" s="16"/>
      <c r="NW27" s="16"/>
      <c r="NX27" s="16"/>
      <c r="NY27" s="16"/>
      <c r="NZ27" s="16"/>
      <c r="OA27" s="16"/>
      <c r="OB27" s="16"/>
      <c r="OC27" s="16"/>
      <c r="OD27" s="16"/>
      <c r="OE27" s="16"/>
      <c r="OF27" s="16"/>
      <c r="OG27" s="16"/>
    </row>
    <row r="28" spans="1:397">
      <c r="A28" s="13" t="s">
        <v>100</v>
      </c>
      <c r="B28" s="13">
        <v>338</v>
      </c>
      <c r="C28" s="13">
        <v>357</v>
      </c>
      <c r="D28" s="13">
        <v>363</v>
      </c>
      <c r="E28" s="13">
        <v>387</v>
      </c>
      <c r="F28" s="13">
        <v>396</v>
      </c>
      <c r="G28" s="13">
        <v>428</v>
      </c>
      <c r="H28" s="13">
        <v>470</v>
      </c>
      <c r="I28" s="13">
        <v>487</v>
      </c>
      <c r="J28" s="13">
        <v>521</v>
      </c>
      <c r="K28">
        <v>555</v>
      </c>
      <c r="L28" s="13">
        <v>593</v>
      </c>
      <c r="M28" s="13">
        <v>639</v>
      </c>
      <c r="N28" s="13">
        <v>682</v>
      </c>
      <c r="O28" s="13">
        <v>733</v>
      </c>
      <c r="P28" s="13">
        <v>755</v>
      </c>
      <c r="Q28" s="13">
        <v>788</v>
      </c>
      <c r="R28" s="13">
        <v>829</v>
      </c>
      <c r="S28" s="13">
        <v>872</v>
      </c>
      <c r="T28" s="13">
        <v>891</v>
      </c>
      <c r="U28" s="13">
        <v>910</v>
      </c>
      <c r="V28" s="13">
        <v>976</v>
      </c>
      <c r="W28" s="13">
        <v>996</v>
      </c>
      <c r="X28" s="13">
        <v>988</v>
      </c>
      <c r="Y28" s="13">
        <v>991</v>
      </c>
      <c r="Z28" s="13">
        <v>956</v>
      </c>
      <c r="AA28" s="13">
        <v>959</v>
      </c>
      <c r="AB28" s="13">
        <v>1017</v>
      </c>
      <c r="AC28" s="13">
        <v>961</v>
      </c>
      <c r="AD28" s="13">
        <v>929</v>
      </c>
      <c r="AE28" s="13">
        <v>844</v>
      </c>
      <c r="AF28" s="13">
        <v>819</v>
      </c>
      <c r="AG28" s="13">
        <v>811</v>
      </c>
      <c r="AH28" s="13">
        <v>788</v>
      </c>
      <c r="AI28" s="13">
        <v>746</v>
      </c>
      <c r="AJ28" s="13">
        <v>670</v>
      </c>
      <c r="AK28" s="13">
        <v>618</v>
      </c>
      <c r="AL28" s="13">
        <v>599</v>
      </c>
      <c r="AM28" s="13">
        <v>556</v>
      </c>
      <c r="AN28" s="13">
        <v>565</v>
      </c>
      <c r="AO28" s="13">
        <v>506</v>
      </c>
      <c r="AP28" s="13">
        <v>470</v>
      </c>
      <c r="AQ28" s="13">
        <v>483</v>
      </c>
      <c r="AR28" s="13">
        <v>458</v>
      </c>
      <c r="AS28" s="13">
        <v>423</v>
      </c>
      <c r="AT28" s="13">
        <v>360</v>
      </c>
      <c r="AU28" s="13">
        <v>318</v>
      </c>
      <c r="AV28" s="13">
        <v>294</v>
      </c>
      <c r="AW28" s="13">
        <v>269</v>
      </c>
      <c r="AX28" s="13">
        <v>280</v>
      </c>
      <c r="AY28" s="13">
        <v>279</v>
      </c>
      <c r="AZ28" s="13">
        <v>267</v>
      </c>
      <c r="BA28" s="13">
        <v>269</v>
      </c>
      <c r="BB28" s="13">
        <v>262</v>
      </c>
      <c r="BC28" s="13">
        <v>267</v>
      </c>
      <c r="BD28" s="13">
        <v>251</v>
      </c>
      <c r="BE28" s="13">
        <v>245</v>
      </c>
      <c r="BF28" s="13">
        <v>236</v>
      </c>
      <c r="BG28" s="13">
        <v>229</v>
      </c>
      <c r="BH28" s="13">
        <v>219</v>
      </c>
      <c r="BI28" s="13">
        <v>214</v>
      </c>
      <c r="BJ28" s="13">
        <v>208</v>
      </c>
      <c r="BK28" s="13">
        <v>205</v>
      </c>
      <c r="BL28" s="13">
        <v>203</v>
      </c>
      <c r="BM28" s="13">
        <v>198</v>
      </c>
      <c r="BN28" s="13">
        <v>198</v>
      </c>
      <c r="BO28" s="13">
        <v>199</v>
      </c>
      <c r="BP28" s="13">
        <v>196</v>
      </c>
      <c r="BQ28" s="13">
        <v>197</v>
      </c>
      <c r="BR28" s="13">
        <v>195</v>
      </c>
      <c r="BS28" s="13">
        <v>196</v>
      </c>
      <c r="BT28" s="13">
        <v>200</v>
      </c>
      <c r="BU28" s="13">
        <v>201</v>
      </c>
      <c r="BV28" s="13">
        <v>210</v>
      </c>
      <c r="BW28" s="13">
        <v>219</v>
      </c>
      <c r="BX28" s="13">
        <v>231</v>
      </c>
      <c r="BY28" s="13">
        <v>234</v>
      </c>
      <c r="BZ28" s="13">
        <v>249</v>
      </c>
      <c r="CA28" s="13">
        <v>249</v>
      </c>
      <c r="CB28" s="13">
        <v>254</v>
      </c>
      <c r="CC28" s="13">
        <v>259</v>
      </c>
      <c r="CD28" s="13">
        <v>264</v>
      </c>
      <c r="CE28" s="13">
        <v>281</v>
      </c>
      <c r="CF28" s="13">
        <v>279</v>
      </c>
      <c r="CG28" s="13">
        <v>288</v>
      </c>
      <c r="CH28" s="13">
        <v>308</v>
      </c>
      <c r="CI28" s="13">
        <v>321</v>
      </c>
      <c r="CJ28" s="13">
        <v>335</v>
      </c>
      <c r="CK28" s="13">
        <v>348</v>
      </c>
      <c r="CL28" s="13">
        <v>357</v>
      </c>
      <c r="CM28" s="13">
        <v>365</v>
      </c>
      <c r="CN28" s="13">
        <v>378</v>
      </c>
      <c r="CO28" s="13">
        <v>373</v>
      </c>
      <c r="CP28" s="13">
        <v>419</v>
      </c>
      <c r="CQ28" s="13">
        <v>456</v>
      </c>
      <c r="CR28" s="13">
        <v>512</v>
      </c>
      <c r="CS28" s="13">
        <v>548</v>
      </c>
      <c r="CT28" s="13">
        <v>613</v>
      </c>
      <c r="CU28" s="13">
        <v>648</v>
      </c>
      <c r="CV28" s="13">
        <v>697</v>
      </c>
      <c r="CW28" s="13">
        <v>728</v>
      </c>
      <c r="CX28" s="13">
        <v>776</v>
      </c>
      <c r="CY28" s="13">
        <v>786</v>
      </c>
      <c r="CZ28" s="13">
        <v>804</v>
      </c>
      <c r="DA28" s="13">
        <v>824</v>
      </c>
      <c r="DB28" s="13">
        <v>823</v>
      </c>
      <c r="DC28" s="13">
        <v>832</v>
      </c>
      <c r="DD28" s="13">
        <v>825</v>
      </c>
      <c r="DE28" s="13">
        <v>828</v>
      </c>
      <c r="DF28" s="13">
        <v>725</v>
      </c>
      <c r="DG28" s="13">
        <v>684</v>
      </c>
      <c r="DH28" s="13">
        <v>666</v>
      </c>
      <c r="DI28" s="13">
        <v>611</v>
      </c>
      <c r="DJ28" s="13">
        <v>592</v>
      </c>
      <c r="DK28" s="13">
        <v>543</v>
      </c>
      <c r="DL28" s="13">
        <v>570</v>
      </c>
      <c r="DM28" s="13">
        <v>570</v>
      </c>
      <c r="DN28" s="13">
        <v>539</v>
      </c>
      <c r="DO28" s="13">
        <v>405</v>
      </c>
      <c r="DP28" s="13">
        <v>404</v>
      </c>
      <c r="DQ28" s="13">
        <v>403</v>
      </c>
      <c r="DR28" s="13">
        <v>406</v>
      </c>
      <c r="DS28" s="13">
        <v>403</v>
      </c>
      <c r="DT28" s="13">
        <v>403</v>
      </c>
      <c r="DU28" s="13">
        <v>401</v>
      </c>
      <c r="DV28" s="13">
        <v>389</v>
      </c>
      <c r="DW28" s="13">
        <v>374</v>
      </c>
      <c r="DX28" s="13">
        <v>376</v>
      </c>
      <c r="DY28" s="13">
        <v>385</v>
      </c>
      <c r="DZ28" s="13">
        <v>381</v>
      </c>
      <c r="EA28" s="13">
        <v>386</v>
      </c>
      <c r="EB28" s="13">
        <v>395</v>
      </c>
      <c r="EC28" s="13">
        <v>381</v>
      </c>
      <c r="ED28" s="13">
        <v>380</v>
      </c>
      <c r="EE28" s="13">
        <v>357</v>
      </c>
      <c r="EF28" s="13">
        <v>366</v>
      </c>
      <c r="EG28" s="13">
        <v>376</v>
      </c>
      <c r="EH28" s="13">
        <v>375</v>
      </c>
      <c r="EI28" s="13">
        <v>369</v>
      </c>
      <c r="EJ28" s="13">
        <v>366</v>
      </c>
      <c r="EK28" s="13">
        <v>364</v>
      </c>
      <c r="EL28" s="13">
        <v>377</v>
      </c>
      <c r="EM28" s="13">
        <v>363</v>
      </c>
      <c r="EN28" s="13">
        <v>375</v>
      </c>
      <c r="EO28" s="13">
        <v>376</v>
      </c>
      <c r="EP28" s="13">
        <v>367</v>
      </c>
      <c r="EQ28" s="13">
        <v>391</v>
      </c>
      <c r="ER28" s="13">
        <v>400</v>
      </c>
      <c r="ES28" s="13">
        <v>398</v>
      </c>
      <c r="ET28" s="13">
        <v>402</v>
      </c>
      <c r="EU28" s="13">
        <v>385</v>
      </c>
      <c r="EV28" s="13">
        <v>391</v>
      </c>
      <c r="EW28" s="13">
        <v>397</v>
      </c>
      <c r="EX28" s="13">
        <v>382</v>
      </c>
      <c r="EY28" s="13">
        <v>374</v>
      </c>
      <c r="EZ28" s="13">
        <v>366</v>
      </c>
      <c r="FA28" s="13">
        <v>354</v>
      </c>
      <c r="FB28" s="13">
        <v>361</v>
      </c>
      <c r="FC28" s="13">
        <v>361</v>
      </c>
      <c r="FD28" s="13">
        <v>378</v>
      </c>
      <c r="FE28" s="13">
        <v>357</v>
      </c>
      <c r="FF28" s="13">
        <v>299</v>
      </c>
      <c r="FG28" s="13">
        <v>311</v>
      </c>
      <c r="FH28" s="13">
        <v>301</v>
      </c>
      <c r="FI28" s="13">
        <v>308</v>
      </c>
      <c r="FJ28" s="13">
        <v>324</v>
      </c>
      <c r="FK28" s="13">
        <v>329</v>
      </c>
      <c r="FL28" s="13">
        <v>329</v>
      </c>
      <c r="FM28" s="13">
        <v>338</v>
      </c>
      <c r="FN28" s="13">
        <v>358</v>
      </c>
      <c r="FO28" s="13">
        <v>349</v>
      </c>
      <c r="FP28" s="13">
        <v>353</v>
      </c>
      <c r="FQ28" s="13">
        <v>356</v>
      </c>
      <c r="FR28" s="13">
        <v>340</v>
      </c>
      <c r="FS28" s="13">
        <v>338</v>
      </c>
      <c r="FT28" s="13">
        <v>351</v>
      </c>
      <c r="FU28" s="13">
        <v>358</v>
      </c>
      <c r="FV28" s="13">
        <v>365</v>
      </c>
      <c r="FW28" s="13">
        <v>365</v>
      </c>
      <c r="FX28" s="13">
        <v>374</v>
      </c>
      <c r="FY28" s="13">
        <v>374</v>
      </c>
      <c r="FZ28" s="13">
        <v>370</v>
      </c>
      <c r="GA28" s="13">
        <v>366</v>
      </c>
      <c r="GB28" s="13">
        <v>353</v>
      </c>
      <c r="GC28" s="13">
        <v>352</v>
      </c>
      <c r="GD28" s="13">
        <v>345</v>
      </c>
      <c r="GE28" s="13">
        <v>356</v>
      </c>
      <c r="GF28" s="13">
        <v>351</v>
      </c>
      <c r="GG28" s="13">
        <v>319</v>
      </c>
      <c r="GH28" s="13">
        <v>318</v>
      </c>
      <c r="GI28" s="13">
        <v>309</v>
      </c>
      <c r="GJ28" s="13">
        <v>295</v>
      </c>
      <c r="GK28" s="13">
        <v>288</v>
      </c>
      <c r="GL28" s="13">
        <v>285</v>
      </c>
      <c r="GM28" s="13">
        <v>283</v>
      </c>
      <c r="GN28" s="13">
        <v>270</v>
      </c>
      <c r="GO28" s="13">
        <v>271</v>
      </c>
      <c r="GP28" s="13">
        <v>273</v>
      </c>
      <c r="GQ28" s="13">
        <v>282</v>
      </c>
      <c r="GR28" s="13">
        <v>272</v>
      </c>
      <c r="GS28" s="13">
        <v>264</v>
      </c>
      <c r="GT28" s="13">
        <v>257</v>
      </c>
      <c r="GU28" s="13">
        <v>257</v>
      </c>
      <c r="GV28" s="13">
        <v>252</v>
      </c>
      <c r="GW28" s="13">
        <v>246</v>
      </c>
      <c r="GX28" s="13">
        <v>280</v>
      </c>
      <c r="GY28" s="13">
        <v>273</v>
      </c>
      <c r="GZ28" s="13">
        <v>306</v>
      </c>
      <c r="HA28" s="13">
        <v>302</v>
      </c>
      <c r="HB28" s="13">
        <v>292</v>
      </c>
      <c r="HC28" s="13">
        <v>251</v>
      </c>
      <c r="HD28" s="13">
        <v>204</v>
      </c>
      <c r="HE28" s="13">
        <v>176</v>
      </c>
      <c r="HF28" s="13">
        <v>164</v>
      </c>
      <c r="HG28" s="13">
        <v>149</v>
      </c>
      <c r="HH28" s="13">
        <v>154</v>
      </c>
      <c r="HI28" s="13">
        <v>147</v>
      </c>
      <c r="HJ28" s="13">
        <v>109</v>
      </c>
      <c r="HK28" s="13">
        <v>104</v>
      </c>
      <c r="HL28" s="13">
        <v>104</v>
      </c>
      <c r="HM28" s="13">
        <v>110</v>
      </c>
      <c r="HN28" s="13">
        <v>110</v>
      </c>
      <c r="HO28" s="13">
        <v>110</v>
      </c>
      <c r="HP28" s="13">
        <v>112</v>
      </c>
      <c r="HQ28" s="13">
        <v>111</v>
      </c>
      <c r="HR28" s="13">
        <v>113</v>
      </c>
      <c r="HS28" s="13">
        <v>112</v>
      </c>
      <c r="HT28" s="13">
        <v>117</v>
      </c>
      <c r="HU28" s="13">
        <v>114</v>
      </c>
      <c r="HV28" s="13">
        <v>109</v>
      </c>
      <c r="HW28" s="13">
        <v>99</v>
      </c>
      <c r="HX28" s="13">
        <v>98</v>
      </c>
      <c r="HY28" s="13">
        <v>97</v>
      </c>
      <c r="HZ28" s="13">
        <v>99</v>
      </c>
      <c r="IA28" s="13">
        <v>100</v>
      </c>
      <c r="IB28" s="13">
        <v>99</v>
      </c>
      <c r="IC28" s="13">
        <v>102</v>
      </c>
      <c r="ID28" s="13">
        <v>106</v>
      </c>
      <c r="IE28" s="13">
        <v>106</v>
      </c>
      <c r="IF28" s="13">
        <v>97</v>
      </c>
      <c r="IG28" s="13">
        <v>97</v>
      </c>
      <c r="IH28" s="13">
        <v>100</v>
      </c>
      <c r="II28" s="13">
        <v>99</v>
      </c>
      <c r="IJ28" s="13">
        <v>114</v>
      </c>
      <c r="IK28" s="13">
        <v>111</v>
      </c>
      <c r="IL28" s="13">
        <v>108</v>
      </c>
      <c r="IM28" s="13">
        <v>110</v>
      </c>
      <c r="IN28" s="13">
        <v>111</v>
      </c>
      <c r="IO28" s="13">
        <v>106</v>
      </c>
      <c r="IP28" s="13">
        <v>110</v>
      </c>
      <c r="IQ28" s="13">
        <v>112</v>
      </c>
      <c r="IR28" s="13">
        <v>103</v>
      </c>
      <c r="IS28" s="13">
        <v>98</v>
      </c>
      <c r="IT28" s="13">
        <v>104</v>
      </c>
      <c r="IU28" s="13">
        <v>129</v>
      </c>
      <c r="IV28" s="13">
        <v>155</v>
      </c>
      <c r="IW28" s="13">
        <v>174</v>
      </c>
      <c r="IX28" s="13">
        <v>201</v>
      </c>
      <c r="IY28" s="13">
        <v>236</v>
      </c>
      <c r="IZ28" s="13">
        <v>257</v>
      </c>
      <c r="JA28" s="13">
        <v>297</v>
      </c>
      <c r="JB28" s="13">
        <v>326</v>
      </c>
      <c r="JC28" s="13">
        <v>357</v>
      </c>
      <c r="JD28" s="13">
        <v>371</v>
      </c>
      <c r="JE28" s="13">
        <v>397</v>
      </c>
      <c r="JF28" s="13">
        <v>389</v>
      </c>
      <c r="JG28" s="13">
        <v>396</v>
      </c>
      <c r="JH28" s="13">
        <v>409</v>
      </c>
      <c r="JI28" s="13">
        <v>413</v>
      </c>
      <c r="JJ28" s="13">
        <v>404</v>
      </c>
      <c r="JK28" s="13">
        <v>403</v>
      </c>
      <c r="JL28" s="13">
        <v>396</v>
      </c>
      <c r="JM28" s="13">
        <v>371</v>
      </c>
      <c r="JN28" s="13">
        <v>370</v>
      </c>
      <c r="JO28" s="13">
        <v>365</v>
      </c>
      <c r="JP28" s="13">
        <v>375</v>
      </c>
      <c r="JQ28" s="13">
        <v>368</v>
      </c>
      <c r="JR28" s="13">
        <v>389</v>
      </c>
      <c r="JS28" s="13">
        <v>448</v>
      </c>
      <c r="JT28" s="13">
        <v>515</v>
      </c>
      <c r="JU28" s="13">
        <v>561</v>
      </c>
      <c r="JV28" s="13">
        <v>619</v>
      </c>
      <c r="JW28" s="13">
        <v>712</v>
      </c>
      <c r="JX28" s="13">
        <v>750</v>
      </c>
      <c r="JY28" s="13">
        <v>760</v>
      </c>
      <c r="JZ28" s="13">
        <v>780</v>
      </c>
      <c r="KA28" s="13">
        <v>794</v>
      </c>
      <c r="KB28" s="13">
        <v>836</v>
      </c>
      <c r="KC28" s="13">
        <v>854</v>
      </c>
      <c r="KD28" s="13">
        <v>880</v>
      </c>
      <c r="KE28" s="13">
        <v>903</v>
      </c>
      <c r="KF28" s="13">
        <v>947</v>
      </c>
      <c r="KG28" s="13">
        <v>962</v>
      </c>
      <c r="KH28" s="13">
        <v>968</v>
      </c>
      <c r="KI28" s="13">
        <v>989</v>
      </c>
      <c r="KJ28" s="13">
        <v>981</v>
      </c>
      <c r="KK28" s="13">
        <v>998</v>
      </c>
      <c r="KL28" s="13">
        <v>993</v>
      </c>
      <c r="KM28" s="13">
        <v>997</v>
      </c>
      <c r="KN28" s="13">
        <v>974</v>
      </c>
      <c r="KO28" s="13">
        <v>1000</v>
      </c>
      <c r="KP28" s="13">
        <v>983</v>
      </c>
      <c r="KQ28" s="13">
        <v>979</v>
      </c>
      <c r="KR28" s="13">
        <v>984</v>
      </c>
      <c r="KS28" s="13">
        <v>991</v>
      </c>
      <c r="KT28" s="13">
        <v>992</v>
      </c>
      <c r="KU28" s="13">
        <v>990</v>
      </c>
      <c r="KV28" s="13">
        <v>999</v>
      </c>
      <c r="KW28" s="13">
        <v>1017</v>
      </c>
      <c r="KX28" s="13">
        <v>1038</v>
      </c>
      <c r="KY28" s="13">
        <v>1032</v>
      </c>
      <c r="KZ28" s="13">
        <v>1023</v>
      </c>
      <c r="LA28" s="13">
        <v>1005</v>
      </c>
      <c r="LB28" s="13">
        <v>1064</v>
      </c>
      <c r="LC28" s="13">
        <v>1086</v>
      </c>
      <c r="LD28" s="13">
        <v>1092</v>
      </c>
      <c r="LE28" s="13">
        <v>1097</v>
      </c>
      <c r="LF28" s="13">
        <v>1104</v>
      </c>
      <c r="LG28" s="13">
        <v>1095</v>
      </c>
      <c r="LH28" s="13">
        <v>1033</v>
      </c>
      <c r="LI28" s="13">
        <v>1047</v>
      </c>
      <c r="LJ28" s="13">
        <v>1024</v>
      </c>
      <c r="LK28" s="13">
        <v>1030</v>
      </c>
      <c r="LL28" s="13">
        <v>1027</v>
      </c>
      <c r="LM28" s="13">
        <v>1075</v>
      </c>
      <c r="LN28" s="13">
        <v>1367</v>
      </c>
      <c r="LO28" s="13"/>
      <c r="LP28" s="16"/>
      <c r="LQ28" s="13"/>
      <c r="LR28" s="13"/>
      <c r="LS28" s="13"/>
      <c r="LT28" s="13"/>
      <c r="LU28" s="13"/>
      <c r="LV28" s="13"/>
      <c r="LW28" s="13"/>
      <c r="LX28" s="13"/>
      <c r="LY28" s="13"/>
      <c r="LZ28" s="13"/>
      <c r="MA28" s="13"/>
      <c r="MB28" s="13"/>
      <c r="MC28" s="13"/>
      <c r="MD28" s="13"/>
      <c r="ME28" s="13"/>
      <c r="MF28" s="13"/>
      <c r="MG28" s="13"/>
      <c r="MH28" s="13"/>
      <c r="MI28" s="13"/>
      <c r="MJ28" s="13"/>
      <c r="MK28" s="13"/>
      <c r="ML28" s="13"/>
      <c r="MM28" s="13"/>
      <c r="MN28" s="13"/>
      <c r="MO28" s="19"/>
      <c r="MP28" s="16"/>
      <c r="MQ28" s="16"/>
      <c r="MR28" s="16"/>
      <c r="MS28" s="16"/>
      <c r="MT28" s="16"/>
      <c r="MU28" s="16"/>
      <c r="MV28" s="16"/>
      <c r="MW28" s="16"/>
      <c r="MX28" s="16"/>
      <c r="MY28" s="16"/>
      <c r="MZ28" s="16"/>
      <c r="NA28" s="16"/>
      <c r="NB28" s="16"/>
      <c r="NC28" s="16"/>
      <c r="ND28" s="16"/>
      <c r="NE28" s="16"/>
      <c r="NF28" s="16"/>
      <c r="NG28" s="16"/>
      <c r="NH28" s="16"/>
      <c r="NI28" s="16"/>
      <c r="NJ28" s="16"/>
      <c r="NK28" s="16"/>
      <c r="NL28" s="16"/>
      <c r="NM28" s="16"/>
      <c r="NN28" s="16"/>
      <c r="NO28" s="16"/>
      <c r="NP28" s="16"/>
      <c r="NQ28" s="16"/>
      <c r="NR28" s="16"/>
      <c r="NS28" s="16"/>
      <c r="NT28" s="16"/>
      <c r="NU28" s="16"/>
      <c r="NV28" s="16"/>
      <c r="NW28" s="16"/>
      <c r="NX28" s="16"/>
      <c r="NY28" s="16"/>
      <c r="NZ28" s="16"/>
      <c r="OA28" s="16"/>
      <c r="OB28" s="16"/>
      <c r="OC28" s="16"/>
      <c r="OD28" s="16"/>
      <c r="OE28" s="16"/>
      <c r="OF28" s="16"/>
      <c r="OG28" s="16"/>
    </row>
    <row r="29" spans="1:397">
      <c r="A29" s="13" t="s">
        <v>101</v>
      </c>
      <c r="B29" s="13">
        <f>B9+B28</f>
        <v>822</v>
      </c>
      <c r="C29" s="13">
        <f>C9+C28</f>
        <v>877</v>
      </c>
      <c r="D29" s="13">
        <f>D9+D28</f>
        <v>920</v>
      </c>
      <c r="E29" s="13">
        <f>E9+E28</f>
        <v>992</v>
      </c>
      <c r="F29" s="13">
        <f>F9+F28</f>
        <v>1033</v>
      </c>
      <c r="G29" s="13">
        <f>G9+G28</f>
        <v>1117</v>
      </c>
      <c r="H29" s="13">
        <f>H9+H28</f>
        <v>1233</v>
      </c>
      <c r="I29" s="13">
        <f>I9+I28</f>
        <v>1307</v>
      </c>
      <c r="J29" s="13">
        <f>J9+J28</f>
        <v>1400</v>
      </c>
      <c r="K29" s="13">
        <f t="shared" ref="K29:AW29" si="243">K9+K28</f>
        <v>1524</v>
      </c>
      <c r="L29" s="13">
        <f t="shared" si="243"/>
        <v>1650</v>
      </c>
      <c r="M29" s="13">
        <f t="shared" si="243"/>
        <v>1757</v>
      </c>
      <c r="N29" s="13">
        <f t="shared" si="243"/>
        <v>1858</v>
      </c>
      <c r="O29" s="13">
        <f t="shared" si="243"/>
        <v>1968</v>
      </c>
      <c r="P29" s="13">
        <f t="shared" si="243"/>
        <v>2059</v>
      </c>
      <c r="Q29" s="13">
        <f t="shared" si="243"/>
        <v>2199</v>
      </c>
      <c r="R29" s="13">
        <f t="shared" si="243"/>
        <v>2345</v>
      </c>
      <c r="S29" s="13">
        <f t="shared" si="243"/>
        <v>2454</v>
      </c>
      <c r="T29" s="13">
        <f t="shared" si="243"/>
        <v>2505</v>
      </c>
      <c r="U29" s="13">
        <f t="shared" si="243"/>
        <v>2578</v>
      </c>
      <c r="V29" s="13">
        <f t="shared" si="243"/>
        <v>2687</v>
      </c>
      <c r="W29" s="13">
        <f t="shared" si="243"/>
        <v>2798</v>
      </c>
      <c r="X29" s="13">
        <f t="shared" si="243"/>
        <v>2808</v>
      </c>
      <c r="Y29" s="13">
        <f t="shared" si="243"/>
        <v>2853</v>
      </c>
      <c r="Z29" s="13">
        <f t="shared" si="243"/>
        <v>2841</v>
      </c>
      <c r="AA29" s="13">
        <f t="shared" si="243"/>
        <v>2809</v>
      </c>
      <c r="AB29" s="13">
        <f t="shared" si="243"/>
        <v>2817</v>
      </c>
      <c r="AC29" s="13">
        <f t="shared" si="243"/>
        <v>2711</v>
      </c>
      <c r="AD29" s="13">
        <f t="shared" si="243"/>
        <v>2603</v>
      </c>
      <c r="AE29" s="13">
        <f t="shared" si="243"/>
        <v>2442</v>
      </c>
      <c r="AF29" s="13">
        <f t="shared" si="243"/>
        <v>2292</v>
      </c>
      <c r="AG29" s="13">
        <f t="shared" si="243"/>
        <v>2198</v>
      </c>
      <c r="AH29" s="13">
        <f t="shared" si="243"/>
        <v>2089</v>
      </c>
      <c r="AI29" s="13">
        <f t="shared" si="243"/>
        <v>1951</v>
      </c>
      <c r="AJ29" s="13">
        <f t="shared" si="243"/>
        <v>1783</v>
      </c>
      <c r="AK29" s="13">
        <f t="shared" si="243"/>
        <v>1619</v>
      </c>
      <c r="AL29" s="13">
        <f t="shared" si="243"/>
        <v>1484</v>
      </c>
      <c r="AM29" s="13">
        <f t="shared" si="243"/>
        <v>1340</v>
      </c>
      <c r="AN29" s="13">
        <f t="shared" si="243"/>
        <v>1262</v>
      </c>
      <c r="AO29" s="13">
        <f t="shared" si="243"/>
        <v>1179</v>
      </c>
      <c r="AP29" s="13">
        <f t="shared" si="243"/>
        <v>1058</v>
      </c>
      <c r="AQ29" s="13">
        <f t="shared" si="243"/>
        <v>1018</v>
      </c>
      <c r="AR29" s="13">
        <f t="shared" si="243"/>
        <v>979</v>
      </c>
      <c r="AS29" s="13">
        <f t="shared" si="243"/>
        <v>908</v>
      </c>
      <c r="AT29" s="13">
        <f t="shared" si="243"/>
        <v>803</v>
      </c>
      <c r="AU29" s="13">
        <f t="shared" si="243"/>
        <v>750</v>
      </c>
      <c r="AV29" s="13">
        <f t="shared" si="243"/>
        <v>705</v>
      </c>
      <c r="AW29" s="13">
        <f t="shared" si="243"/>
        <v>664</v>
      </c>
      <c r="AX29" s="13">
        <f t="shared" ref="AX29:IF29" si="244">AX9+AX28</f>
        <v>663</v>
      </c>
      <c r="AY29" s="13">
        <f t="shared" si="244"/>
        <v>649</v>
      </c>
      <c r="AZ29" s="13">
        <f t="shared" si="244"/>
        <v>635</v>
      </c>
      <c r="BA29" s="13">
        <f t="shared" si="244"/>
        <v>625</v>
      </c>
      <c r="BB29" s="13">
        <f t="shared" si="244"/>
        <v>610</v>
      </c>
      <c r="BC29" s="13">
        <f t="shared" si="244"/>
        <v>606</v>
      </c>
      <c r="BD29" s="13">
        <f t="shared" si="244"/>
        <v>585</v>
      </c>
      <c r="BE29" s="13">
        <f t="shared" si="244"/>
        <v>573</v>
      </c>
      <c r="BF29" s="13">
        <f t="shared" si="244"/>
        <v>556</v>
      </c>
      <c r="BG29" s="13">
        <f t="shared" si="244"/>
        <v>544</v>
      </c>
      <c r="BH29" s="13">
        <f t="shared" si="244"/>
        <v>539</v>
      </c>
      <c r="BI29" s="13">
        <f t="shared" si="244"/>
        <v>538</v>
      </c>
      <c r="BJ29" s="13">
        <f t="shared" si="244"/>
        <v>526</v>
      </c>
      <c r="BK29" s="13">
        <f t="shared" si="244"/>
        <v>514</v>
      </c>
      <c r="BL29" s="13">
        <f t="shared" si="244"/>
        <v>510</v>
      </c>
      <c r="BM29" s="13">
        <f t="shared" si="244"/>
        <v>502</v>
      </c>
      <c r="BN29" s="13">
        <f t="shared" si="244"/>
        <v>499</v>
      </c>
      <c r="BO29" s="13">
        <f t="shared" si="244"/>
        <v>514</v>
      </c>
      <c r="BP29" s="13">
        <f t="shared" si="244"/>
        <v>508</v>
      </c>
      <c r="BQ29" s="13">
        <f t="shared" si="244"/>
        <v>510</v>
      </c>
      <c r="BR29" s="13">
        <f t="shared" si="244"/>
        <v>501</v>
      </c>
      <c r="BS29" s="13">
        <f t="shared" si="244"/>
        <v>489</v>
      </c>
      <c r="BT29" s="13">
        <f t="shared" si="244"/>
        <v>492</v>
      </c>
      <c r="BU29" s="13">
        <f t="shared" si="244"/>
        <v>486</v>
      </c>
      <c r="BV29" s="13">
        <f t="shared" si="244"/>
        <v>494</v>
      </c>
      <c r="BW29" s="13">
        <f t="shared" si="244"/>
        <v>499</v>
      </c>
      <c r="BX29" s="13">
        <f t="shared" si="244"/>
        <v>512</v>
      </c>
      <c r="BY29" s="13">
        <f t="shared" si="244"/>
        <v>513</v>
      </c>
      <c r="BZ29" s="13">
        <f t="shared" si="244"/>
        <v>522</v>
      </c>
      <c r="CA29" s="13">
        <f t="shared" si="244"/>
        <v>520</v>
      </c>
      <c r="CB29" s="13">
        <f t="shared" si="244"/>
        <v>520</v>
      </c>
      <c r="CC29" s="13">
        <f t="shared" si="244"/>
        <v>527</v>
      </c>
      <c r="CD29" s="13">
        <f t="shared" si="244"/>
        <v>541</v>
      </c>
      <c r="CE29" s="13">
        <f t="shared" si="244"/>
        <v>558</v>
      </c>
      <c r="CF29" s="13">
        <f t="shared" si="244"/>
        <v>559</v>
      </c>
      <c r="CG29" s="13">
        <f t="shared" si="244"/>
        <v>573</v>
      </c>
      <c r="CH29" s="13">
        <f t="shared" si="244"/>
        <v>611</v>
      </c>
      <c r="CI29" s="13">
        <f t="shared" si="244"/>
        <v>627</v>
      </c>
      <c r="CJ29" s="13">
        <f t="shared" si="244"/>
        <v>640</v>
      </c>
      <c r="CK29" s="13">
        <f t="shared" si="244"/>
        <v>670</v>
      </c>
      <c r="CL29" s="13">
        <f t="shared" si="244"/>
        <v>672</v>
      </c>
      <c r="CM29" s="13">
        <f t="shared" si="244"/>
        <v>681</v>
      </c>
      <c r="CN29" s="13">
        <f t="shared" si="244"/>
        <v>686</v>
      </c>
      <c r="CO29" s="13">
        <f t="shared" si="244"/>
        <v>684</v>
      </c>
      <c r="CP29" s="13">
        <f t="shared" si="244"/>
        <v>733</v>
      </c>
      <c r="CQ29" s="13">
        <f t="shared" si="244"/>
        <v>780</v>
      </c>
      <c r="CR29" s="13">
        <f t="shared" si="244"/>
        <v>519</v>
      </c>
      <c r="CS29" s="13">
        <f t="shared" si="244"/>
        <v>922</v>
      </c>
      <c r="CT29" s="13">
        <f t="shared" si="244"/>
        <v>998</v>
      </c>
      <c r="CU29" s="13">
        <f t="shared" si="244"/>
        <v>1036</v>
      </c>
      <c r="CV29" s="13">
        <f t="shared" si="244"/>
        <v>1091</v>
      </c>
      <c r="CW29" s="13">
        <f t="shared" si="244"/>
        <v>1141</v>
      </c>
      <c r="CX29" s="13">
        <f t="shared" si="244"/>
        <v>1198</v>
      </c>
      <c r="CY29" s="13">
        <f t="shared" si="244"/>
        <v>1212</v>
      </c>
      <c r="CZ29" s="13">
        <f t="shared" si="244"/>
        <v>1228</v>
      </c>
      <c r="DA29" s="13">
        <f t="shared" si="244"/>
        <v>1234</v>
      </c>
      <c r="DB29" s="13">
        <f t="shared" si="244"/>
        <v>1242</v>
      </c>
      <c r="DC29" s="13">
        <f t="shared" si="244"/>
        <v>1251</v>
      </c>
      <c r="DD29" s="13">
        <f t="shared" si="244"/>
        <v>1225</v>
      </c>
      <c r="DE29" s="13">
        <f t="shared" si="244"/>
        <v>1220</v>
      </c>
      <c r="DF29" s="13">
        <f t="shared" si="244"/>
        <v>1116</v>
      </c>
      <c r="DG29" s="13">
        <f t="shared" si="244"/>
        <v>1047</v>
      </c>
      <c r="DH29" s="13">
        <f t="shared" si="244"/>
        <v>1025</v>
      </c>
      <c r="DI29" s="13">
        <f t="shared" si="244"/>
        <v>966</v>
      </c>
      <c r="DJ29" s="13">
        <f t="shared" si="244"/>
        <v>931</v>
      </c>
      <c r="DK29" s="13">
        <f t="shared" si="244"/>
        <v>881</v>
      </c>
      <c r="DL29" s="13">
        <f t="shared" si="244"/>
        <v>868</v>
      </c>
      <c r="DM29" s="13">
        <f t="shared" si="244"/>
        <v>834</v>
      </c>
      <c r="DN29" s="13">
        <f t="shared" si="244"/>
        <v>804</v>
      </c>
      <c r="DO29" s="13">
        <f t="shared" si="244"/>
        <v>670</v>
      </c>
      <c r="DP29" s="13">
        <f t="shared" si="244"/>
        <v>669</v>
      </c>
      <c r="DQ29" s="13">
        <f t="shared" si="244"/>
        <v>651</v>
      </c>
      <c r="DR29" s="13">
        <f t="shared" si="244"/>
        <v>651</v>
      </c>
      <c r="DS29" s="13">
        <f t="shared" si="244"/>
        <v>650</v>
      </c>
      <c r="DT29" s="13">
        <f t="shared" si="244"/>
        <v>661</v>
      </c>
      <c r="DU29" s="13">
        <f t="shared" si="244"/>
        <v>650</v>
      </c>
      <c r="DV29" s="13">
        <f t="shared" si="244"/>
        <v>641</v>
      </c>
      <c r="DW29" s="13">
        <f t="shared" si="244"/>
        <v>633</v>
      </c>
      <c r="DX29" s="13">
        <f t="shared" si="244"/>
        <v>629</v>
      </c>
      <c r="DY29" s="13">
        <f t="shared" si="244"/>
        <v>625</v>
      </c>
      <c r="DZ29" s="13">
        <f t="shared" si="244"/>
        <v>622</v>
      </c>
      <c r="EA29" s="13">
        <f t="shared" si="244"/>
        <v>608</v>
      </c>
      <c r="EB29" s="13">
        <f t="shared" si="244"/>
        <v>625</v>
      </c>
      <c r="EC29" s="13">
        <f t="shared" si="244"/>
        <v>599</v>
      </c>
      <c r="ED29" s="13">
        <f t="shared" si="244"/>
        <v>586</v>
      </c>
      <c r="EE29" s="13">
        <f t="shared" si="244"/>
        <v>563</v>
      </c>
      <c r="EF29" s="13">
        <f t="shared" si="244"/>
        <v>566</v>
      </c>
      <c r="EG29" s="13">
        <f t="shared" si="244"/>
        <v>581</v>
      </c>
      <c r="EH29" s="13">
        <f t="shared" si="244"/>
        <v>588</v>
      </c>
      <c r="EI29" s="13">
        <f t="shared" si="244"/>
        <v>577</v>
      </c>
      <c r="EJ29" s="13">
        <f t="shared" si="244"/>
        <v>561</v>
      </c>
      <c r="EK29" s="13">
        <f t="shared" si="244"/>
        <v>553</v>
      </c>
      <c r="EL29" s="13">
        <f t="shared" si="244"/>
        <v>566</v>
      </c>
      <c r="EM29" s="13">
        <f t="shared" si="244"/>
        <v>549</v>
      </c>
      <c r="EN29" s="13">
        <f t="shared" si="244"/>
        <v>566</v>
      </c>
      <c r="EO29" s="13">
        <f t="shared" si="244"/>
        <v>560</v>
      </c>
      <c r="EP29" s="13">
        <f t="shared" si="244"/>
        <v>552</v>
      </c>
      <c r="EQ29" s="13">
        <f t="shared" si="244"/>
        <v>567</v>
      </c>
      <c r="ER29" s="13">
        <f t="shared" si="244"/>
        <v>567</v>
      </c>
      <c r="ES29" s="13">
        <f t="shared" si="244"/>
        <v>564</v>
      </c>
      <c r="ET29" s="13">
        <f t="shared" si="244"/>
        <v>569</v>
      </c>
      <c r="EU29" s="13">
        <f t="shared" si="244"/>
        <v>553</v>
      </c>
      <c r="EV29" s="13">
        <f t="shared" si="244"/>
        <v>557</v>
      </c>
      <c r="EW29" s="13">
        <f t="shared" si="244"/>
        <v>570</v>
      </c>
      <c r="EX29" s="13">
        <f t="shared" si="244"/>
        <v>550</v>
      </c>
      <c r="EY29" s="13">
        <f t="shared" si="244"/>
        <v>545</v>
      </c>
      <c r="EZ29" s="13">
        <f t="shared" si="244"/>
        <v>531</v>
      </c>
      <c r="FA29" s="13">
        <f t="shared" si="244"/>
        <v>495</v>
      </c>
      <c r="FB29" s="13">
        <f t="shared" si="244"/>
        <v>504</v>
      </c>
      <c r="FC29" s="13">
        <f t="shared" si="244"/>
        <v>503</v>
      </c>
      <c r="FD29" s="13">
        <f t="shared" si="244"/>
        <v>523</v>
      </c>
      <c r="FE29" s="13">
        <f t="shared" si="244"/>
        <v>508</v>
      </c>
      <c r="FF29" s="13">
        <f t="shared" si="244"/>
        <v>453</v>
      </c>
      <c r="FG29" s="13">
        <f t="shared" si="244"/>
        <v>468</v>
      </c>
      <c r="FH29" s="13">
        <f t="shared" si="244"/>
        <v>462</v>
      </c>
      <c r="FI29" s="13">
        <f t="shared" si="244"/>
        <v>473</v>
      </c>
      <c r="FJ29" s="13">
        <f t="shared" si="244"/>
        <v>499</v>
      </c>
      <c r="FK29" s="13">
        <f t="shared" si="244"/>
        <v>509</v>
      </c>
      <c r="FL29" s="13">
        <f t="shared" si="244"/>
        <v>515</v>
      </c>
      <c r="FM29" s="13">
        <f t="shared" si="244"/>
        <v>532</v>
      </c>
      <c r="FN29" s="13">
        <f t="shared" si="244"/>
        <v>563</v>
      </c>
      <c r="FO29" s="13">
        <f t="shared" si="244"/>
        <v>541</v>
      </c>
      <c r="FP29" s="13">
        <f t="shared" si="244"/>
        <v>551</v>
      </c>
      <c r="FQ29" s="13">
        <f t="shared" si="244"/>
        <v>572</v>
      </c>
      <c r="FR29" s="13">
        <f t="shared" si="244"/>
        <v>577</v>
      </c>
      <c r="FS29" s="13">
        <f t="shared" si="244"/>
        <v>582</v>
      </c>
      <c r="FT29" s="13">
        <f t="shared" si="244"/>
        <v>613</v>
      </c>
      <c r="FU29" s="13">
        <f t="shared" si="244"/>
        <v>646</v>
      </c>
      <c r="FV29" s="13">
        <f t="shared" si="244"/>
        <v>689</v>
      </c>
      <c r="FW29" s="13">
        <f t="shared" si="244"/>
        <v>712</v>
      </c>
      <c r="FX29" s="13">
        <f t="shared" si="244"/>
        <v>760</v>
      </c>
      <c r="FY29" s="13">
        <f t="shared" si="244"/>
        <v>782</v>
      </c>
      <c r="FZ29" s="13">
        <f t="shared" si="244"/>
        <v>792</v>
      </c>
      <c r="GA29" s="13">
        <f t="shared" si="244"/>
        <v>820</v>
      </c>
      <c r="GB29" s="13">
        <f t="shared" si="244"/>
        <v>844</v>
      </c>
      <c r="GC29" s="13">
        <f t="shared" si="244"/>
        <v>868</v>
      </c>
      <c r="GD29" s="13">
        <f t="shared" si="244"/>
        <v>914</v>
      </c>
      <c r="GE29" s="13">
        <f t="shared" si="244"/>
        <v>951</v>
      </c>
      <c r="GF29" s="13">
        <f t="shared" si="244"/>
        <v>963</v>
      </c>
      <c r="GG29" s="13">
        <f t="shared" si="244"/>
        <v>937</v>
      </c>
      <c r="GH29" s="13">
        <f t="shared" si="244"/>
        <v>973</v>
      </c>
      <c r="GI29" s="13">
        <f t="shared" si="244"/>
        <v>999</v>
      </c>
      <c r="GJ29" s="13">
        <f t="shared" si="244"/>
        <v>1019</v>
      </c>
      <c r="GK29" s="13">
        <f t="shared" si="244"/>
        <v>1049</v>
      </c>
      <c r="GL29" s="13">
        <f t="shared" si="244"/>
        <v>1079</v>
      </c>
      <c r="GM29" s="13">
        <f t="shared" si="244"/>
        <v>1085</v>
      </c>
      <c r="GN29" s="13">
        <f t="shared" si="244"/>
        <v>1087</v>
      </c>
      <c r="GO29" s="13">
        <f t="shared" si="244"/>
        <v>1110</v>
      </c>
      <c r="GP29" s="13">
        <f t="shared" si="244"/>
        <v>1116</v>
      </c>
      <c r="GQ29" s="13">
        <f t="shared" si="244"/>
        <v>1119</v>
      </c>
      <c r="GR29" s="13">
        <f t="shared" si="244"/>
        <v>1082</v>
      </c>
      <c r="GS29" s="13">
        <f t="shared" si="244"/>
        <v>1064</v>
      </c>
      <c r="GT29" s="13">
        <f t="shared" si="244"/>
        <v>1038</v>
      </c>
      <c r="GU29" s="13">
        <f t="shared" si="244"/>
        <v>1005</v>
      </c>
      <c r="GV29" s="13">
        <f t="shared" si="244"/>
        <v>966</v>
      </c>
      <c r="GW29" s="13">
        <f t="shared" si="244"/>
        <v>930</v>
      </c>
      <c r="GX29" s="13">
        <f t="shared" si="244"/>
        <v>854</v>
      </c>
      <c r="GY29" s="13">
        <f t="shared" si="244"/>
        <v>755</v>
      </c>
      <c r="GZ29" s="13">
        <f t="shared" si="244"/>
        <v>697</v>
      </c>
      <c r="HA29" s="13">
        <f t="shared" si="244"/>
        <v>641</v>
      </c>
      <c r="HB29" s="13">
        <f t="shared" si="244"/>
        <v>580</v>
      </c>
      <c r="HC29" s="13">
        <f t="shared" si="244"/>
        <v>512</v>
      </c>
      <c r="HD29" s="13">
        <f t="shared" si="244"/>
        <v>447</v>
      </c>
      <c r="HE29" s="13">
        <f t="shared" si="244"/>
        <v>416</v>
      </c>
      <c r="HF29" s="13">
        <f t="shared" si="244"/>
        <v>397</v>
      </c>
      <c r="HG29" s="13">
        <f t="shared" si="244"/>
        <v>391</v>
      </c>
      <c r="HH29" s="13">
        <f t="shared" si="244"/>
        <v>403</v>
      </c>
      <c r="HI29" s="13">
        <f t="shared" si="244"/>
        <v>398</v>
      </c>
      <c r="HJ29" s="13">
        <f t="shared" si="244"/>
        <v>361</v>
      </c>
      <c r="HK29" s="13">
        <f t="shared" si="244"/>
        <v>355</v>
      </c>
      <c r="HL29" s="13">
        <f t="shared" si="244"/>
        <v>363</v>
      </c>
      <c r="HM29" s="13">
        <f t="shared" si="244"/>
        <v>394</v>
      </c>
      <c r="HN29" s="13">
        <f t="shared" si="244"/>
        <v>407</v>
      </c>
      <c r="HO29" s="13">
        <f t="shared" si="244"/>
        <v>430</v>
      </c>
      <c r="HP29" s="13">
        <f t="shared" si="244"/>
        <v>438</v>
      </c>
      <c r="HQ29" s="13">
        <f t="shared" si="244"/>
        <v>441</v>
      </c>
      <c r="HR29" s="13">
        <f t="shared" si="244"/>
        <v>455</v>
      </c>
      <c r="HS29" s="13">
        <f t="shared" si="244"/>
        <v>469</v>
      </c>
      <c r="HT29" s="13">
        <f t="shared" si="244"/>
        <v>507</v>
      </c>
      <c r="HU29" s="13">
        <f t="shared" si="244"/>
        <v>517</v>
      </c>
      <c r="HV29" s="13">
        <f t="shared" si="244"/>
        <v>514</v>
      </c>
      <c r="HW29" s="13">
        <f t="shared" si="244"/>
        <v>502</v>
      </c>
      <c r="HX29" s="13">
        <f t="shared" si="244"/>
        <v>500</v>
      </c>
      <c r="HY29" s="13">
        <f t="shared" si="244"/>
        <v>506</v>
      </c>
      <c r="HZ29" s="13">
        <f t="shared" si="244"/>
        <v>515</v>
      </c>
      <c r="IA29" s="13">
        <f t="shared" si="244"/>
        <v>521</v>
      </c>
      <c r="IB29" s="13">
        <f t="shared" si="244"/>
        <v>527</v>
      </c>
      <c r="IC29" s="13">
        <f t="shared" si="244"/>
        <v>520</v>
      </c>
      <c r="ID29" s="13">
        <f t="shared" si="244"/>
        <v>521</v>
      </c>
      <c r="IE29" s="13">
        <f t="shared" si="244"/>
        <v>511</v>
      </c>
      <c r="IF29" s="13">
        <f t="shared" si="244"/>
        <v>486</v>
      </c>
      <c r="IG29" s="13">
        <f t="shared" ref="IG29:JL29" si="245">IG9+IG28</f>
        <v>479</v>
      </c>
      <c r="IH29" s="13">
        <f t="shared" si="245"/>
        <v>468</v>
      </c>
      <c r="II29" s="13">
        <f t="shared" si="245"/>
        <v>458</v>
      </c>
      <c r="IJ29" s="13">
        <f t="shared" si="245"/>
        <v>463</v>
      </c>
      <c r="IK29" s="13">
        <f t="shared" si="245"/>
        <v>442</v>
      </c>
      <c r="IL29" s="13">
        <f t="shared" si="245"/>
        <v>416</v>
      </c>
      <c r="IM29" s="13">
        <f t="shared" si="245"/>
        <v>403</v>
      </c>
      <c r="IN29" s="13">
        <f t="shared" si="245"/>
        <v>376</v>
      </c>
      <c r="IO29" s="13">
        <f t="shared" si="245"/>
        <v>358</v>
      </c>
      <c r="IP29" s="13">
        <f t="shared" si="245"/>
        <v>320</v>
      </c>
      <c r="IQ29" s="13">
        <f t="shared" si="245"/>
        <v>289</v>
      </c>
      <c r="IR29" s="13">
        <f t="shared" si="245"/>
        <v>232</v>
      </c>
      <c r="IS29" s="13">
        <f t="shared" si="245"/>
        <v>172</v>
      </c>
      <c r="IT29" s="13">
        <f t="shared" si="245"/>
        <v>169</v>
      </c>
      <c r="IU29" s="13">
        <f t="shared" si="245"/>
        <v>191</v>
      </c>
      <c r="IV29" s="13">
        <f t="shared" si="245"/>
        <v>210</v>
      </c>
      <c r="IW29" s="13">
        <f t="shared" si="245"/>
        <v>232</v>
      </c>
      <c r="IX29" s="13">
        <f t="shared" si="245"/>
        <v>266</v>
      </c>
      <c r="IY29" s="13">
        <f t="shared" si="245"/>
        <v>306</v>
      </c>
      <c r="IZ29" s="13">
        <f t="shared" si="245"/>
        <v>324</v>
      </c>
      <c r="JA29" s="13">
        <f t="shared" si="245"/>
        <v>363</v>
      </c>
      <c r="JB29" s="13">
        <f t="shared" si="245"/>
        <v>395</v>
      </c>
      <c r="JC29" s="13">
        <f t="shared" si="245"/>
        <v>430</v>
      </c>
      <c r="JD29" s="13">
        <f t="shared" si="245"/>
        <v>444</v>
      </c>
      <c r="JE29" s="13">
        <f t="shared" si="245"/>
        <v>473</v>
      </c>
      <c r="JF29" s="13">
        <f t="shared" si="245"/>
        <v>452</v>
      </c>
      <c r="JG29" s="13">
        <f t="shared" si="245"/>
        <v>459</v>
      </c>
      <c r="JH29" s="13">
        <f t="shared" si="245"/>
        <v>479</v>
      </c>
      <c r="JI29" s="13">
        <f t="shared" si="245"/>
        <v>486</v>
      </c>
      <c r="JJ29" s="13">
        <f t="shared" si="245"/>
        <v>483</v>
      </c>
      <c r="JK29" s="13">
        <f t="shared" si="245"/>
        <v>484</v>
      </c>
      <c r="JL29" s="13">
        <f t="shared" si="245"/>
        <v>479</v>
      </c>
      <c r="JM29" s="13">
        <f t="shared" ref="JM29:KR29" si="246">JM9+JM28</f>
        <v>450</v>
      </c>
      <c r="JN29" s="13">
        <f t="shared" si="246"/>
        <v>449</v>
      </c>
      <c r="JO29" s="13">
        <f t="shared" si="246"/>
        <v>447</v>
      </c>
      <c r="JP29" s="13">
        <f t="shared" si="246"/>
        <v>459</v>
      </c>
      <c r="JQ29" s="13">
        <f t="shared" si="246"/>
        <v>455</v>
      </c>
      <c r="JR29" s="13">
        <f t="shared" si="246"/>
        <v>474</v>
      </c>
      <c r="JS29" s="13">
        <f t="shared" si="246"/>
        <v>530</v>
      </c>
      <c r="JT29" s="13">
        <f t="shared" si="246"/>
        <v>601</v>
      </c>
      <c r="JU29" s="13">
        <f t="shared" si="246"/>
        <v>650</v>
      </c>
      <c r="JV29" s="13">
        <f t="shared" si="246"/>
        <v>710</v>
      </c>
      <c r="JW29" s="13">
        <f t="shared" si="246"/>
        <v>813</v>
      </c>
      <c r="JX29" s="13">
        <f t="shared" si="246"/>
        <v>854</v>
      </c>
      <c r="JY29" s="13">
        <f t="shared" si="246"/>
        <v>875</v>
      </c>
      <c r="JZ29" s="13">
        <f t="shared" si="246"/>
        <v>921</v>
      </c>
      <c r="KA29" s="13">
        <f t="shared" si="246"/>
        <v>942</v>
      </c>
      <c r="KB29" s="13">
        <f t="shared" si="246"/>
        <v>1044</v>
      </c>
      <c r="KC29" s="13">
        <f t="shared" si="246"/>
        <v>1114</v>
      </c>
      <c r="KD29" s="13">
        <f t="shared" si="246"/>
        <v>1175</v>
      </c>
      <c r="KE29" s="13">
        <f t="shared" si="246"/>
        <v>1242</v>
      </c>
      <c r="KF29" s="13">
        <f t="shared" si="246"/>
        <v>1342</v>
      </c>
      <c r="KG29" s="13">
        <f t="shared" si="246"/>
        <v>1443</v>
      </c>
      <c r="KH29" s="13">
        <f t="shared" si="246"/>
        <v>1499</v>
      </c>
      <c r="KI29" s="13">
        <f t="shared" si="246"/>
        <v>1546</v>
      </c>
      <c r="KJ29" s="13">
        <f t="shared" si="246"/>
        <v>1580</v>
      </c>
      <c r="KK29" s="13">
        <f t="shared" si="246"/>
        <v>1617</v>
      </c>
      <c r="KL29" s="13">
        <f t="shared" si="246"/>
        <v>1640</v>
      </c>
      <c r="KM29" s="13">
        <f t="shared" si="246"/>
        <v>1645</v>
      </c>
      <c r="KN29" s="13">
        <f t="shared" si="246"/>
        <v>1697</v>
      </c>
      <c r="KO29" s="13">
        <f t="shared" si="246"/>
        <v>1801</v>
      </c>
      <c r="KP29" s="13">
        <f t="shared" si="246"/>
        <v>1821</v>
      </c>
      <c r="KQ29" s="13">
        <f t="shared" si="246"/>
        <v>1894</v>
      </c>
      <c r="KR29" s="13">
        <f t="shared" si="246"/>
        <v>1943</v>
      </c>
      <c r="KS29" s="13">
        <f t="shared" ref="KS29:LN29" si="247">KS9+KS28</f>
        <v>1996</v>
      </c>
      <c r="KT29" s="13">
        <f t="shared" si="247"/>
        <v>1995</v>
      </c>
      <c r="KU29" s="13">
        <f t="shared" si="247"/>
        <v>2021</v>
      </c>
      <c r="KV29" s="13">
        <f t="shared" si="247"/>
        <v>2040</v>
      </c>
      <c r="KW29" s="13">
        <f t="shared" si="247"/>
        <v>2075</v>
      </c>
      <c r="KX29" s="13">
        <f t="shared" si="247"/>
        <v>2119</v>
      </c>
      <c r="KY29" s="13">
        <f t="shared" si="247"/>
        <v>2139</v>
      </c>
      <c r="KZ29" s="13">
        <f t="shared" si="247"/>
        <v>2160</v>
      </c>
      <c r="LA29" s="13">
        <f t="shared" si="247"/>
        <v>2175</v>
      </c>
      <c r="LB29" s="13">
        <f t="shared" si="247"/>
        <v>2220</v>
      </c>
      <c r="LC29" s="13">
        <f t="shared" si="247"/>
        <v>2224</v>
      </c>
      <c r="LD29" s="13">
        <f t="shared" si="247"/>
        <v>2181</v>
      </c>
      <c r="LE29" s="13">
        <f t="shared" si="247"/>
        <v>2213</v>
      </c>
      <c r="LF29" s="13">
        <f t="shared" si="247"/>
        <v>2264</v>
      </c>
      <c r="LG29" s="13">
        <f t="shared" si="247"/>
        <v>2285</v>
      </c>
      <c r="LH29" s="13">
        <f t="shared" si="247"/>
        <v>2275</v>
      </c>
      <c r="LI29" s="13">
        <f t="shared" si="247"/>
        <v>2346</v>
      </c>
      <c r="LJ29" s="13">
        <f t="shared" si="247"/>
        <v>2400</v>
      </c>
      <c r="LK29" s="13">
        <f t="shared" si="247"/>
        <v>2592</v>
      </c>
      <c r="LL29" s="13">
        <f t="shared" si="247"/>
        <v>2754</v>
      </c>
      <c r="LM29" s="13">
        <f t="shared" si="247"/>
        <v>2938</v>
      </c>
      <c r="LN29" s="13">
        <f t="shared" si="247"/>
        <v>3371</v>
      </c>
      <c r="LO29" s="13"/>
      <c r="LP29" s="16"/>
      <c r="LQ29" s="13"/>
      <c r="LR29" s="13"/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  <c r="ML29" s="13"/>
      <c r="MM29" s="13"/>
      <c r="MN29" s="13"/>
      <c r="MO29" s="19"/>
      <c r="MP29" s="16"/>
      <c r="MQ29" s="16"/>
      <c r="MR29" s="16"/>
      <c r="MS29" s="16"/>
      <c r="MT29" s="16"/>
      <c r="MU29" s="16"/>
      <c r="MV29" s="16"/>
      <c r="MW29" s="16"/>
      <c r="MX29" s="16"/>
      <c r="MY29" s="16"/>
      <c r="MZ29" s="16"/>
      <c r="NA29" s="16"/>
      <c r="NB29" s="16"/>
      <c r="NC29" s="16"/>
      <c r="ND29" s="16"/>
      <c r="NE29" s="16"/>
      <c r="NF29" s="16"/>
      <c r="NG29" s="16"/>
      <c r="NH29" s="16"/>
      <c r="NI29" s="16"/>
      <c r="NJ29" s="16"/>
      <c r="NK29" s="16"/>
      <c r="NL29" s="16"/>
      <c r="NM29" s="16"/>
      <c r="NN29" s="16"/>
      <c r="NO29" s="16"/>
      <c r="NP29" s="16"/>
      <c r="NQ29" s="16"/>
      <c r="NR29" s="16"/>
      <c r="NS29" s="16"/>
      <c r="NT29" s="16"/>
      <c r="NU29" s="16"/>
      <c r="NV29" s="16"/>
      <c r="NW29" s="16"/>
      <c r="NX29" s="16"/>
      <c r="NY29" s="16"/>
      <c r="NZ29" s="16"/>
      <c r="OA29" s="16"/>
      <c r="OB29" s="16"/>
      <c r="OC29" s="16"/>
      <c r="OD29" s="16"/>
      <c r="OE29" s="16"/>
      <c r="OF29" s="16"/>
      <c r="OG29" s="16"/>
    </row>
    <row r="30" spans="1:397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13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  <c r="KF30" s="13"/>
      <c r="KG30" s="13"/>
      <c r="KH30" s="13"/>
      <c r="KI30" s="13"/>
      <c r="KJ30" s="13"/>
      <c r="KK30" s="13"/>
      <c r="KL30" s="13"/>
      <c r="KM30" s="13"/>
      <c r="KN30" s="13"/>
      <c r="KO30" s="13"/>
      <c r="KP30" s="13"/>
      <c r="KQ30" s="13"/>
      <c r="KR30" s="13"/>
      <c r="KS30" s="13"/>
      <c r="KT30" s="13"/>
      <c r="KU30" s="13"/>
      <c r="KV30" s="13"/>
      <c r="KW30" s="13"/>
      <c r="KX30" s="13"/>
      <c r="KY30" s="13"/>
      <c r="KZ30" s="13"/>
      <c r="LA30" s="13"/>
      <c r="LB30" s="13"/>
      <c r="LC30" s="13"/>
      <c r="LD30" s="13"/>
      <c r="LE30" s="13"/>
      <c r="LF30" s="13"/>
      <c r="LG30" s="13"/>
      <c r="LH30" s="13"/>
      <c r="LI30" s="13"/>
      <c r="LJ30" s="13"/>
      <c r="LK30" s="13"/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  <c r="MA30" s="13"/>
      <c r="MB30" s="13"/>
      <c r="MC30" s="13"/>
      <c r="MD30" s="13"/>
      <c r="ME30" s="13"/>
      <c r="MF30" s="13"/>
      <c r="MG30" s="13"/>
      <c r="MH30" s="13"/>
      <c r="MI30" s="13"/>
      <c r="MJ30" s="13"/>
      <c r="MK30" s="13"/>
      <c r="ML30" s="13"/>
      <c r="MM30" s="13"/>
      <c r="MN30" s="13"/>
      <c r="MO30" s="13"/>
      <c r="MP30" s="13"/>
      <c r="MQ30" s="13"/>
      <c r="MR30" s="13"/>
      <c r="MS30" s="13"/>
      <c r="MT30" s="13"/>
      <c r="MU30" s="13"/>
      <c r="MV30" s="16"/>
      <c r="MW30" s="16"/>
      <c r="MX30" s="16"/>
      <c r="MY30" s="16"/>
      <c r="MZ30" s="16"/>
      <c r="NA30" s="16"/>
      <c r="NB30" s="16"/>
      <c r="NC30" s="16"/>
      <c r="ND30" s="16"/>
      <c r="NE30" s="16"/>
      <c r="NF30" s="16"/>
      <c r="NG30" s="16"/>
      <c r="NH30" s="16"/>
      <c r="NI30" s="16"/>
      <c r="NJ30" s="16"/>
      <c r="NK30" s="16"/>
      <c r="NL30" s="16"/>
      <c r="NM30" s="16"/>
      <c r="NN30" s="16"/>
      <c r="NO30" s="16"/>
      <c r="NP30" s="16"/>
      <c r="NQ30" s="16"/>
      <c r="NR30" s="16"/>
      <c r="NS30" s="16"/>
      <c r="NT30" s="16"/>
      <c r="NU30" s="16"/>
      <c r="NV30" s="16"/>
      <c r="NW30" s="16"/>
      <c r="NX30" s="16"/>
      <c r="NY30" s="16"/>
      <c r="NZ30" s="16"/>
      <c r="OA30" s="16"/>
      <c r="OB30" s="16"/>
      <c r="OC30" s="16"/>
      <c r="OD30" s="16"/>
      <c r="OE30" s="16"/>
      <c r="OF30" s="16"/>
      <c r="OG30" s="16"/>
    </row>
    <row r="31" spans="1:397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8">
        <v>44008</v>
      </c>
      <c r="IF31" s="8">
        <v>44007</v>
      </c>
      <c r="IG31" s="8">
        <v>44006</v>
      </c>
      <c r="IH31" s="8">
        <v>44005</v>
      </c>
      <c r="II31" s="8">
        <v>44004</v>
      </c>
      <c r="IJ31" s="8">
        <v>44003</v>
      </c>
      <c r="IK31" s="8">
        <v>44002</v>
      </c>
      <c r="IL31" s="8">
        <v>44001</v>
      </c>
      <c r="IM31" s="8">
        <v>44000</v>
      </c>
      <c r="IN31" s="8">
        <v>43999</v>
      </c>
      <c r="IO31" s="8">
        <v>43998</v>
      </c>
      <c r="IP31" s="8">
        <v>43997</v>
      </c>
      <c r="IQ31" s="8">
        <v>43996</v>
      </c>
      <c r="IR31" s="8">
        <v>43995</v>
      </c>
      <c r="IS31" s="8">
        <v>43994</v>
      </c>
      <c r="IT31" s="8">
        <v>43993</v>
      </c>
      <c r="IU31" s="8">
        <v>43992</v>
      </c>
      <c r="IV31" s="8">
        <v>43991</v>
      </c>
      <c r="IW31" s="8">
        <v>43990</v>
      </c>
      <c r="IX31" s="8">
        <v>43989</v>
      </c>
      <c r="IY31" s="8">
        <v>43988</v>
      </c>
      <c r="IZ31" s="8">
        <v>43987</v>
      </c>
      <c r="JA31" s="8">
        <v>43986</v>
      </c>
      <c r="JB31" s="8">
        <v>43985</v>
      </c>
      <c r="JC31" s="8">
        <v>43984</v>
      </c>
      <c r="JD31" s="8">
        <v>43983</v>
      </c>
      <c r="JE31" s="8">
        <v>43982</v>
      </c>
      <c r="JF31" s="8">
        <v>43981</v>
      </c>
      <c r="JG31" s="8">
        <v>43980</v>
      </c>
      <c r="JH31" s="8">
        <v>43979</v>
      </c>
      <c r="JI31" s="8">
        <v>43978</v>
      </c>
      <c r="JJ31" s="8">
        <v>43977</v>
      </c>
      <c r="JK31" s="8">
        <v>43976</v>
      </c>
      <c r="JL31" s="8">
        <v>43975</v>
      </c>
      <c r="JM31" s="8">
        <v>43974</v>
      </c>
      <c r="JN31" s="8">
        <v>43973</v>
      </c>
      <c r="JO31" s="8">
        <v>43972</v>
      </c>
      <c r="JP31" s="8">
        <v>43971</v>
      </c>
      <c r="JQ31" s="8">
        <v>43970</v>
      </c>
      <c r="JR31" s="8">
        <v>43969</v>
      </c>
      <c r="JS31" s="8">
        <v>43968</v>
      </c>
      <c r="JT31" s="8">
        <v>43967</v>
      </c>
      <c r="JU31" s="8">
        <v>43966</v>
      </c>
      <c r="JV31" s="8">
        <v>43965</v>
      </c>
      <c r="JW31" s="8">
        <v>43964</v>
      </c>
      <c r="JX31" s="8">
        <v>43963</v>
      </c>
      <c r="JY31" s="8">
        <v>43962</v>
      </c>
      <c r="JZ31" s="8">
        <v>43961</v>
      </c>
      <c r="KA31" s="8">
        <v>43960</v>
      </c>
      <c r="KB31" s="8">
        <v>43959</v>
      </c>
      <c r="KC31" s="8">
        <v>43958</v>
      </c>
      <c r="KD31" s="8">
        <v>43957</v>
      </c>
      <c r="KE31" s="8">
        <v>43956</v>
      </c>
      <c r="KF31" s="8">
        <v>43955</v>
      </c>
      <c r="KG31" s="8">
        <v>43954</v>
      </c>
      <c r="KH31" s="8">
        <v>43953</v>
      </c>
      <c r="KI31" s="8">
        <v>43952</v>
      </c>
      <c r="KJ31" s="8">
        <v>43951</v>
      </c>
      <c r="KK31" s="8">
        <v>43950</v>
      </c>
      <c r="KL31" s="8">
        <v>43949</v>
      </c>
      <c r="KM31" s="8">
        <v>43948</v>
      </c>
      <c r="KN31" s="8">
        <v>43947</v>
      </c>
      <c r="KO31" s="8">
        <v>43946</v>
      </c>
      <c r="KP31" s="8">
        <v>43945</v>
      </c>
      <c r="KQ31" s="8">
        <v>43944</v>
      </c>
      <c r="KR31" s="8">
        <v>43943</v>
      </c>
      <c r="KS31" s="8">
        <v>43942</v>
      </c>
      <c r="KT31" s="8">
        <v>43941</v>
      </c>
      <c r="KU31" s="8">
        <v>43940</v>
      </c>
      <c r="KV31" s="8">
        <v>43939</v>
      </c>
      <c r="KW31" s="8">
        <v>43938</v>
      </c>
      <c r="KX31" s="8">
        <v>43937</v>
      </c>
      <c r="KY31" s="8">
        <v>43936</v>
      </c>
      <c r="KZ31" s="8">
        <v>43935</v>
      </c>
      <c r="LA31" s="8">
        <v>43934</v>
      </c>
      <c r="LB31" s="8">
        <v>43933</v>
      </c>
      <c r="LC31" s="8">
        <v>43932</v>
      </c>
      <c r="LD31" s="8">
        <v>43931</v>
      </c>
      <c r="LE31" s="8">
        <v>43930</v>
      </c>
      <c r="LF31" s="8">
        <v>43929</v>
      </c>
      <c r="LG31" s="8">
        <v>43928</v>
      </c>
      <c r="LH31" s="8">
        <v>43927</v>
      </c>
      <c r="LI31" s="8">
        <v>43926</v>
      </c>
      <c r="LJ31" s="8">
        <v>43925</v>
      </c>
      <c r="LK31" s="8">
        <v>43924</v>
      </c>
      <c r="LL31" s="8">
        <v>43923</v>
      </c>
      <c r="LM31" s="8">
        <v>43922</v>
      </c>
      <c r="LN31" s="8">
        <v>43921</v>
      </c>
      <c r="LO31" s="8">
        <v>43920</v>
      </c>
      <c r="LP31" s="8">
        <v>43919</v>
      </c>
      <c r="LQ31" s="8">
        <v>43918</v>
      </c>
      <c r="LR31" s="8">
        <v>43917</v>
      </c>
      <c r="LS31" s="8">
        <v>43916</v>
      </c>
      <c r="LT31" s="8">
        <v>43915</v>
      </c>
      <c r="LU31" s="8">
        <v>43914</v>
      </c>
      <c r="LV31" s="8">
        <v>43913</v>
      </c>
      <c r="LW31" s="8">
        <v>43912</v>
      </c>
      <c r="LX31" s="8">
        <v>43911</v>
      </c>
      <c r="LY31" s="8">
        <v>43910</v>
      </c>
      <c r="LZ31" s="8">
        <v>43909</v>
      </c>
      <c r="MA31" s="8">
        <v>43908</v>
      </c>
      <c r="MB31" s="8">
        <v>43907</v>
      </c>
      <c r="MC31" s="8">
        <v>43906</v>
      </c>
      <c r="MD31" s="8">
        <v>43905</v>
      </c>
      <c r="ME31" s="8">
        <v>43904</v>
      </c>
      <c r="MF31" s="8">
        <v>43903</v>
      </c>
      <c r="MG31" s="8">
        <v>43902</v>
      </c>
      <c r="MH31" s="8">
        <v>43901</v>
      </c>
      <c r="MI31" s="8">
        <v>43900</v>
      </c>
      <c r="MJ31" s="8">
        <v>43899</v>
      </c>
      <c r="MK31" s="8">
        <v>43898</v>
      </c>
      <c r="ML31" s="8">
        <v>43897</v>
      </c>
      <c r="MM31" s="8">
        <v>43896</v>
      </c>
      <c r="MN31" s="8">
        <v>43895</v>
      </c>
      <c r="MO31" s="8">
        <v>43894</v>
      </c>
      <c r="MP31" s="8">
        <v>43893</v>
      </c>
      <c r="MQ31" s="8">
        <v>43892</v>
      </c>
      <c r="MR31" s="8">
        <v>43891</v>
      </c>
      <c r="MS31" s="12">
        <v>43890</v>
      </c>
      <c r="MT31" s="12">
        <v>43889</v>
      </c>
      <c r="MU31" s="12">
        <v>43888</v>
      </c>
      <c r="MV31" s="12">
        <v>43887</v>
      </c>
      <c r="MW31" s="12">
        <v>43886</v>
      </c>
      <c r="MX31" s="12">
        <v>43885</v>
      </c>
      <c r="MY31" s="12">
        <v>43884</v>
      </c>
      <c r="MZ31" s="12">
        <v>43883</v>
      </c>
      <c r="NA31" s="12">
        <v>43882</v>
      </c>
      <c r="NB31" s="12">
        <v>43881</v>
      </c>
      <c r="NC31" s="12">
        <v>43880</v>
      </c>
      <c r="ND31" s="12">
        <v>43879</v>
      </c>
      <c r="NE31" s="12">
        <v>43878</v>
      </c>
      <c r="NF31" s="12">
        <v>43877</v>
      </c>
      <c r="NG31" s="12">
        <v>43876</v>
      </c>
      <c r="NH31" s="12">
        <v>43875</v>
      </c>
      <c r="NI31" s="12">
        <v>43874</v>
      </c>
      <c r="NJ31" s="12">
        <v>43873</v>
      </c>
      <c r="NK31" s="12">
        <v>43872</v>
      </c>
      <c r="NL31" s="12">
        <v>43871</v>
      </c>
      <c r="NM31" s="12">
        <v>43870</v>
      </c>
      <c r="NN31" s="12">
        <v>43869</v>
      </c>
      <c r="NO31" s="12">
        <v>43868</v>
      </c>
      <c r="NP31" s="12">
        <v>43867</v>
      </c>
      <c r="NQ31" s="12">
        <v>43866</v>
      </c>
      <c r="NR31" s="12">
        <v>43865</v>
      </c>
      <c r="NS31" s="12">
        <v>43864</v>
      </c>
      <c r="NT31" s="12">
        <v>43863</v>
      </c>
      <c r="NU31" s="12">
        <v>43862</v>
      </c>
      <c r="NV31" s="12">
        <v>43861</v>
      </c>
      <c r="NW31" s="12">
        <v>43860</v>
      </c>
      <c r="NX31" s="12">
        <v>43859</v>
      </c>
      <c r="NY31" s="12">
        <v>43858</v>
      </c>
      <c r="NZ31" s="12">
        <v>43857</v>
      </c>
      <c r="OA31" s="12">
        <v>43856</v>
      </c>
      <c r="OB31" s="12">
        <v>43855</v>
      </c>
      <c r="OC31" s="12">
        <v>43854</v>
      </c>
      <c r="OD31" s="12">
        <v>43853</v>
      </c>
      <c r="OE31" s="12">
        <v>43852</v>
      </c>
      <c r="OF31" s="12">
        <v>43851</v>
      </c>
      <c r="OG31" s="12">
        <v>43850</v>
      </c>
    </row>
    <row r="32" spans="1:397">
      <c r="A32" s="13" t="s">
        <v>71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9">
        <f t="shared" ref="IE32:JJ32" si="248">IE2-IE45</f>
        <v>21</v>
      </c>
      <c r="IF32" s="19">
        <f t="shared" si="248"/>
        <v>13</v>
      </c>
      <c r="IG32" s="19">
        <f t="shared" si="248"/>
        <v>19</v>
      </c>
      <c r="IH32" s="19">
        <f t="shared" si="248"/>
        <v>12</v>
      </c>
      <c r="II32" s="19">
        <f t="shared" si="248"/>
        <v>22</v>
      </c>
      <c r="IJ32" s="19">
        <f t="shared" si="248"/>
        <v>18</v>
      </c>
      <c r="IK32" s="19">
        <f t="shared" si="248"/>
        <v>26</v>
      </c>
      <c r="IL32" s="19">
        <f t="shared" si="248"/>
        <v>27</v>
      </c>
      <c r="IM32" s="19">
        <f t="shared" si="248"/>
        <v>32</v>
      </c>
      <c r="IN32" s="19">
        <f t="shared" si="248"/>
        <v>28</v>
      </c>
      <c r="IO32" s="19">
        <f t="shared" si="248"/>
        <v>44</v>
      </c>
      <c r="IP32" s="19">
        <f t="shared" si="248"/>
        <v>40</v>
      </c>
      <c r="IQ32" s="19">
        <f t="shared" si="248"/>
        <v>49</v>
      </c>
      <c r="IR32" s="19">
        <f t="shared" si="248"/>
        <v>57</v>
      </c>
      <c r="IS32" s="19">
        <f t="shared" si="248"/>
        <v>11</v>
      </c>
      <c r="IT32" s="19">
        <f t="shared" si="248"/>
        <v>7</v>
      </c>
      <c r="IU32" s="19">
        <f t="shared" si="248"/>
        <v>11</v>
      </c>
      <c r="IV32" s="19">
        <f t="shared" si="248"/>
        <v>3</v>
      </c>
      <c r="IW32" s="19">
        <f t="shared" si="248"/>
        <v>3</v>
      </c>
      <c r="IX32" s="19">
        <f t="shared" si="248"/>
        <v>4</v>
      </c>
      <c r="IY32" s="19">
        <f t="shared" si="248"/>
        <v>6</v>
      </c>
      <c r="IZ32" s="19">
        <f t="shared" si="248"/>
        <v>3</v>
      </c>
      <c r="JA32" s="19">
        <f t="shared" si="248"/>
        <v>5</v>
      </c>
      <c r="JB32" s="19">
        <f t="shared" si="248"/>
        <v>1</v>
      </c>
      <c r="JC32" s="19">
        <f t="shared" si="248"/>
        <v>1</v>
      </c>
      <c r="JD32" s="19">
        <f t="shared" si="248"/>
        <v>5</v>
      </c>
      <c r="JE32" s="19">
        <f t="shared" si="248"/>
        <v>16</v>
      </c>
      <c r="JF32" s="19">
        <f t="shared" si="248"/>
        <v>2</v>
      </c>
      <c r="JG32" s="19">
        <f t="shared" si="248"/>
        <v>4</v>
      </c>
      <c r="JH32" s="19">
        <f t="shared" si="248"/>
        <v>0</v>
      </c>
      <c r="JI32" s="19">
        <f t="shared" si="248"/>
        <v>2</v>
      </c>
      <c r="JJ32" s="19">
        <f t="shared" si="248"/>
        <v>1</v>
      </c>
      <c r="JK32" s="19">
        <f t="shared" ref="JK32:KP32" si="249">JK2-JK45</f>
        <v>7</v>
      </c>
      <c r="JL32" s="19">
        <f t="shared" si="249"/>
        <v>11</v>
      </c>
      <c r="JM32" s="19">
        <f t="shared" si="249"/>
        <v>3</v>
      </c>
      <c r="JN32" s="19">
        <f t="shared" si="249"/>
        <v>0</v>
      </c>
      <c r="JO32" s="19">
        <f t="shared" si="249"/>
        <v>4</v>
      </c>
      <c r="JP32" s="19">
        <f t="shared" si="249"/>
        <v>2</v>
      </c>
      <c r="JQ32" s="19">
        <f t="shared" si="249"/>
        <v>5</v>
      </c>
      <c r="JR32" s="19">
        <f t="shared" si="249"/>
        <v>5</v>
      </c>
      <c r="JS32" s="19">
        <f t="shared" si="249"/>
        <v>7</v>
      </c>
      <c r="JT32" s="19">
        <f t="shared" si="249"/>
        <v>5</v>
      </c>
      <c r="JU32" s="19">
        <f t="shared" si="249"/>
        <v>8</v>
      </c>
      <c r="JV32" s="19">
        <f t="shared" si="249"/>
        <v>4</v>
      </c>
      <c r="JW32" s="19">
        <f t="shared" si="249"/>
        <v>3</v>
      </c>
      <c r="JX32" s="19">
        <f t="shared" si="249"/>
        <v>7</v>
      </c>
      <c r="JY32" s="19">
        <f t="shared" si="249"/>
        <v>1</v>
      </c>
      <c r="JZ32" s="19">
        <f t="shared" si="249"/>
        <v>12</v>
      </c>
      <c r="KA32" s="19">
        <f t="shared" si="249"/>
        <v>13</v>
      </c>
      <c r="KB32" s="19">
        <f t="shared" si="249"/>
        <v>1</v>
      </c>
      <c r="KC32" s="19">
        <f t="shared" si="249"/>
        <v>1</v>
      </c>
      <c r="KD32" s="19">
        <f t="shared" si="249"/>
        <v>2</v>
      </c>
      <c r="KE32" s="19">
        <f t="shared" si="249"/>
        <v>2</v>
      </c>
      <c r="KF32" s="19">
        <f t="shared" si="249"/>
        <v>1</v>
      </c>
      <c r="KG32" s="19">
        <f t="shared" si="249"/>
        <v>3</v>
      </c>
      <c r="KH32" s="19">
        <f t="shared" si="249"/>
        <v>2</v>
      </c>
      <c r="KI32" s="19">
        <f t="shared" si="249"/>
        <v>1</v>
      </c>
      <c r="KJ32" s="19">
        <f t="shared" si="249"/>
        <v>12</v>
      </c>
      <c r="KK32" s="19">
        <f t="shared" si="249"/>
        <v>4</v>
      </c>
      <c r="KL32" s="19">
        <f t="shared" si="249"/>
        <v>22</v>
      </c>
      <c r="KM32" s="19">
        <f t="shared" si="249"/>
        <v>6</v>
      </c>
      <c r="KN32" s="19">
        <f t="shared" si="249"/>
        <v>3</v>
      </c>
      <c r="KO32" s="19">
        <f t="shared" si="249"/>
        <v>11</v>
      </c>
      <c r="KP32" s="19">
        <f t="shared" si="249"/>
        <v>12</v>
      </c>
      <c r="KQ32" s="19">
        <f t="shared" ref="KQ32:LV32" si="250">KQ2-KQ45</f>
        <v>6</v>
      </c>
      <c r="KR32" s="19">
        <f t="shared" si="250"/>
        <v>10</v>
      </c>
      <c r="KS32" s="19">
        <f t="shared" si="250"/>
        <v>30</v>
      </c>
      <c r="KT32" s="19">
        <f t="shared" si="250"/>
        <v>11</v>
      </c>
      <c r="KU32" s="19">
        <f t="shared" si="250"/>
        <v>12</v>
      </c>
      <c r="KV32" s="19">
        <f t="shared" si="250"/>
        <v>16</v>
      </c>
      <c r="KW32" s="19">
        <f t="shared" si="250"/>
        <v>27</v>
      </c>
      <c r="KX32" s="19">
        <f t="shared" si="250"/>
        <v>26</v>
      </c>
      <c r="KY32" s="19">
        <f t="shared" si="250"/>
        <v>46</v>
      </c>
      <c r="KZ32" s="19">
        <f t="shared" si="250"/>
        <v>46</v>
      </c>
      <c r="LA32" s="19">
        <f t="shared" si="250"/>
        <v>89</v>
      </c>
      <c r="LB32" s="19">
        <f t="shared" si="250"/>
        <v>108</v>
      </c>
      <c r="LC32" s="19">
        <f t="shared" si="250"/>
        <v>99</v>
      </c>
      <c r="LD32" s="19">
        <f t="shared" si="250"/>
        <v>46</v>
      </c>
      <c r="LE32" s="19">
        <f t="shared" si="250"/>
        <v>42</v>
      </c>
      <c r="LF32" s="19">
        <f t="shared" si="250"/>
        <v>18</v>
      </c>
      <c r="LG32" s="19">
        <f t="shared" si="250"/>
        <v>62</v>
      </c>
      <c r="LH32" s="19">
        <f t="shared" si="250"/>
        <v>32</v>
      </c>
      <c r="LI32" s="19">
        <f t="shared" si="250"/>
        <v>39</v>
      </c>
      <c r="LJ32" s="19">
        <f t="shared" si="250"/>
        <v>30</v>
      </c>
      <c r="LK32" s="19">
        <f t="shared" si="250"/>
        <v>18</v>
      </c>
      <c r="LL32" s="19">
        <f t="shared" si="250"/>
        <v>31</v>
      </c>
      <c r="LM32" s="19">
        <f t="shared" si="250"/>
        <v>35</v>
      </c>
      <c r="LN32" s="19">
        <f t="shared" si="250"/>
        <v>35</v>
      </c>
      <c r="LO32" s="19">
        <f t="shared" si="250"/>
        <v>48</v>
      </c>
      <c r="LP32" s="19">
        <f t="shared" si="250"/>
        <v>31</v>
      </c>
      <c r="LQ32" s="19">
        <f t="shared" si="250"/>
        <v>45</v>
      </c>
      <c r="LR32" s="19">
        <f t="shared" si="250"/>
        <v>54</v>
      </c>
      <c r="LS32" s="19">
        <f t="shared" si="250"/>
        <v>55</v>
      </c>
      <c r="LT32" s="19">
        <f t="shared" si="250"/>
        <v>67</v>
      </c>
      <c r="LU32" s="19">
        <f t="shared" si="250"/>
        <v>47</v>
      </c>
      <c r="LV32" s="19">
        <f t="shared" si="250"/>
        <v>77</v>
      </c>
      <c r="LW32" s="19">
        <f t="shared" ref="LW32:NB32" si="251">LW2-LW45</f>
        <v>39</v>
      </c>
      <c r="LX32" s="19">
        <f t="shared" si="251"/>
        <v>46</v>
      </c>
      <c r="LY32" s="19">
        <f t="shared" si="251"/>
        <v>41</v>
      </c>
      <c r="LZ32" s="19">
        <f t="shared" si="251"/>
        <v>39</v>
      </c>
      <c r="MA32" s="19">
        <f t="shared" si="251"/>
        <v>34</v>
      </c>
      <c r="MB32" s="19">
        <f t="shared" si="251"/>
        <v>12</v>
      </c>
      <c r="MC32" s="19">
        <f t="shared" si="251"/>
        <v>20</v>
      </c>
      <c r="MD32" s="19">
        <f t="shared" si="251"/>
        <v>12</v>
      </c>
      <c r="ME32" s="19">
        <f t="shared" si="251"/>
        <v>16</v>
      </c>
      <c r="MF32" s="19">
        <f t="shared" si="251"/>
        <v>7</v>
      </c>
      <c r="MG32" s="19">
        <f t="shared" si="251"/>
        <v>3</v>
      </c>
      <c r="MH32" s="19">
        <f t="shared" si="251"/>
        <v>7</v>
      </c>
      <c r="MI32" s="19">
        <f t="shared" si="251"/>
        <v>11</v>
      </c>
      <c r="MJ32" s="19">
        <f t="shared" si="251"/>
        <v>2</v>
      </c>
      <c r="MK32" s="19">
        <f t="shared" si="251"/>
        <v>4</v>
      </c>
      <c r="ML32" s="19">
        <f t="shared" si="251"/>
        <v>3</v>
      </c>
      <c r="MM32" s="19">
        <f t="shared" si="251"/>
        <v>25</v>
      </c>
      <c r="MN32" s="19">
        <f t="shared" si="251"/>
        <v>17</v>
      </c>
      <c r="MO32" s="19">
        <f t="shared" si="251"/>
        <v>5</v>
      </c>
      <c r="MP32" s="19">
        <f t="shared" si="251"/>
        <v>4</v>
      </c>
      <c r="MQ32" s="19">
        <f t="shared" si="251"/>
        <v>11</v>
      </c>
      <c r="MR32" s="19">
        <f t="shared" si="251"/>
        <v>7</v>
      </c>
      <c r="MS32" s="19">
        <f t="shared" si="251"/>
        <v>3</v>
      </c>
      <c r="MT32" s="19">
        <f t="shared" si="251"/>
        <v>4</v>
      </c>
      <c r="MU32" s="19">
        <f t="shared" si="251"/>
        <v>9</v>
      </c>
      <c r="MV32" s="19">
        <f t="shared" si="251"/>
        <v>24</v>
      </c>
      <c r="MW32" s="19">
        <f t="shared" si="251"/>
        <v>5</v>
      </c>
      <c r="MX32" s="19">
        <f t="shared" si="251"/>
        <v>9</v>
      </c>
      <c r="MY32" s="19">
        <f t="shared" si="251"/>
        <v>11</v>
      </c>
      <c r="MZ32" s="19">
        <f t="shared" si="251"/>
        <v>18</v>
      </c>
      <c r="NA32" s="19">
        <f t="shared" si="251"/>
        <v>31</v>
      </c>
      <c r="NB32" s="19">
        <f t="shared" si="251"/>
        <v>258</v>
      </c>
      <c r="NC32" s="19">
        <f t="shared" ref="NC32:OG32" si="252">NC2-NC45</f>
        <v>45</v>
      </c>
      <c r="ND32" s="19">
        <f t="shared" si="252"/>
        <v>56</v>
      </c>
      <c r="NE32" s="19">
        <f t="shared" si="252"/>
        <v>79</v>
      </c>
      <c r="NF32" s="19">
        <f t="shared" si="252"/>
        <v>115</v>
      </c>
      <c r="NG32" s="19">
        <f t="shared" si="252"/>
        <v>166</v>
      </c>
      <c r="NH32" s="19">
        <f t="shared" si="252"/>
        <v>221</v>
      </c>
      <c r="NI32" s="19">
        <f t="shared" si="252"/>
        <v>267</v>
      </c>
      <c r="NJ32" s="19">
        <f t="shared" si="252"/>
        <v>312</v>
      </c>
      <c r="NK32" s="19">
        <f t="shared" si="252"/>
        <v>377</v>
      </c>
      <c r="NL32" s="19">
        <f t="shared" si="252"/>
        <v>381</v>
      </c>
      <c r="NM32" s="19">
        <f t="shared" si="252"/>
        <v>444</v>
      </c>
      <c r="NN32" s="19">
        <f t="shared" si="252"/>
        <v>509</v>
      </c>
      <c r="NO32" s="19">
        <f t="shared" si="252"/>
        <v>558</v>
      </c>
      <c r="NP32" s="19">
        <f t="shared" si="252"/>
        <v>696</v>
      </c>
      <c r="NQ32" s="19">
        <f t="shared" si="252"/>
        <v>707</v>
      </c>
      <c r="NR32" s="19">
        <f t="shared" si="252"/>
        <v>731</v>
      </c>
      <c r="NS32" s="19">
        <f t="shared" si="252"/>
        <v>890</v>
      </c>
      <c r="NT32" s="19">
        <f t="shared" si="252"/>
        <v>726</v>
      </c>
      <c r="NU32" s="19">
        <f t="shared" si="252"/>
        <v>669</v>
      </c>
      <c r="NV32" s="19">
        <f t="shared" si="252"/>
        <v>755</v>
      </c>
      <c r="NW32" s="19">
        <f t="shared" si="252"/>
        <v>762</v>
      </c>
      <c r="NX32" s="19">
        <f t="shared" si="252"/>
        <v>705</v>
      </c>
      <c r="NY32" s="19">
        <f t="shared" si="252"/>
        <v>619</v>
      </c>
      <c r="NZ32" s="19">
        <f t="shared" si="252"/>
        <v>480</v>
      </c>
      <c r="OA32" s="19">
        <f t="shared" si="252"/>
        <v>398</v>
      </c>
      <c r="OB32" s="19">
        <f t="shared" si="252"/>
        <v>365</v>
      </c>
      <c r="OC32" s="19">
        <f t="shared" si="252"/>
        <v>264</v>
      </c>
      <c r="OD32" s="19">
        <f t="shared" si="252"/>
        <v>154</v>
      </c>
      <c r="OE32" s="19">
        <f t="shared" si="252"/>
        <v>62</v>
      </c>
      <c r="OF32" s="19">
        <f t="shared" si="252"/>
        <v>44</v>
      </c>
      <c r="OG32" s="19">
        <f t="shared" si="252"/>
        <v>5</v>
      </c>
    </row>
    <row r="33" spans="1:397">
      <c r="A33" s="13" t="s">
        <v>73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9">
        <f t="shared" ref="IE33:JJ33" si="253">IE5-IE46</f>
        <v>0</v>
      </c>
      <c r="IF33" s="19">
        <f t="shared" si="253"/>
        <v>0</v>
      </c>
      <c r="IG33" s="19">
        <f t="shared" si="253"/>
        <v>0</v>
      </c>
      <c r="IH33" s="19">
        <f t="shared" si="253"/>
        <v>0</v>
      </c>
      <c r="II33" s="19">
        <f t="shared" si="253"/>
        <v>0</v>
      </c>
      <c r="IJ33" s="19">
        <f t="shared" si="253"/>
        <v>0</v>
      </c>
      <c r="IK33" s="19">
        <f t="shared" si="253"/>
        <v>0</v>
      </c>
      <c r="IL33" s="19">
        <f t="shared" si="253"/>
        <v>0</v>
      </c>
      <c r="IM33" s="19">
        <f t="shared" si="253"/>
        <v>0</v>
      </c>
      <c r="IN33" s="19">
        <f t="shared" si="253"/>
        <v>0</v>
      </c>
      <c r="IO33" s="19">
        <f t="shared" si="253"/>
        <v>0</v>
      </c>
      <c r="IP33" s="19">
        <f t="shared" si="253"/>
        <v>0</v>
      </c>
      <c r="IQ33" s="19">
        <f t="shared" si="253"/>
        <v>0</v>
      </c>
      <c r="IR33" s="19">
        <f t="shared" si="253"/>
        <v>0</v>
      </c>
      <c r="IS33" s="19">
        <f t="shared" si="253"/>
        <v>0</v>
      </c>
      <c r="IT33" s="19">
        <f t="shared" si="253"/>
        <v>0</v>
      </c>
      <c r="IU33" s="19">
        <f t="shared" si="253"/>
        <v>0</v>
      </c>
      <c r="IV33" s="19">
        <f t="shared" si="253"/>
        <v>0</v>
      </c>
      <c r="IW33" s="19">
        <f t="shared" si="253"/>
        <v>0</v>
      </c>
      <c r="IX33" s="19">
        <f t="shared" si="253"/>
        <v>0</v>
      </c>
      <c r="IY33" s="19">
        <f t="shared" si="253"/>
        <v>0</v>
      </c>
      <c r="IZ33" s="19">
        <f t="shared" si="253"/>
        <v>0</v>
      </c>
      <c r="JA33" s="19">
        <f t="shared" si="253"/>
        <v>0</v>
      </c>
      <c r="JB33" s="19">
        <f t="shared" si="253"/>
        <v>0</v>
      </c>
      <c r="JC33" s="19">
        <f t="shared" si="253"/>
        <v>0</v>
      </c>
      <c r="JD33" s="19">
        <f t="shared" si="253"/>
        <v>0</v>
      </c>
      <c r="JE33" s="19">
        <f t="shared" si="253"/>
        <v>0</v>
      </c>
      <c r="JF33" s="19">
        <f t="shared" si="253"/>
        <v>0</v>
      </c>
      <c r="JG33" s="19">
        <f t="shared" si="253"/>
        <v>0</v>
      </c>
      <c r="JH33" s="19">
        <f t="shared" si="253"/>
        <v>0</v>
      </c>
      <c r="JI33" s="19">
        <f t="shared" si="253"/>
        <v>0</v>
      </c>
      <c r="JJ33" s="19">
        <f t="shared" si="253"/>
        <v>0</v>
      </c>
      <c r="JK33" s="19">
        <f t="shared" ref="JK33:KP33" si="254">JK5-JK46</f>
        <v>0</v>
      </c>
      <c r="JL33" s="19">
        <f t="shared" si="254"/>
        <v>0</v>
      </c>
      <c r="JM33" s="19">
        <f t="shared" si="254"/>
        <v>0</v>
      </c>
      <c r="JN33" s="19">
        <f t="shared" si="254"/>
        <v>0</v>
      </c>
      <c r="JO33" s="19">
        <f t="shared" si="254"/>
        <v>0</v>
      </c>
      <c r="JP33" s="19">
        <f t="shared" si="254"/>
        <v>0</v>
      </c>
      <c r="JQ33" s="19">
        <f t="shared" si="254"/>
        <v>0</v>
      </c>
      <c r="JR33" s="19">
        <f t="shared" si="254"/>
        <v>0</v>
      </c>
      <c r="JS33" s="19">
        <f t="shared" si="254"/>
        <v>0</v>
      </c>
      <c r="JT33" s="19">
        <f t="shared" si="254"/>
        <v>0</v>
      </c>
      <c r="JU33" s="19">
        <f t="shared" si="254"/>
        <v>0</v>
      </c>
      <c r="JV33" s="19">
        <f t="shared" si="254"/>
        <v>0</v>
      </c>
      <c r="JW33" s="19">
        <f t="shared" si="254"/>
        <v>0</v>
      </c>
      <c r="JX33" s="19">
        <f t="shared" si="254"/>
        <v>0</v>
      </c>
      <c r="JY33" s="19">
        <f t="shared" si="254"/>
        <v>0</v>
      </c>
      <c r="JZ33" s="19">
        <f t="shared" si="254"/>
        <v>0</v>
      </c>
      <c r="KA33" s="19">
        <f t="shared" si="254"/>
        <v>0</v>
      </c>
      <c r="KB33" s="19">
        <f t="shared" si="254"/>
        <v>0</v>
      </c>
      <c r="KC33" s="19">
        <f t="shared" si="254"/>
        <v>0</v>
      </c>
      <c r="KD33" s="19">
        <f t="shared" si="254"/>
        <v>0</v>
      </c>
      <c r="KE33" s="19">
        <f t="shared" si="254"/>
        <v>0</v>
      </c>
      <c r="KF33" s="19">
        <f t="shared" si="254"/>
        <v>0</v>
      </c>
      <c r="KG33" s="19">
        <f t="shared" si="254"/>
        <v>0</v>
      </c>
      <c r="KH33" s="19">
        <f t="shared" si="254"/>
        <v>0</v>
      </c>
      <c r="KI33" s="19">
        <f t="shared" si="254"/>
        <v>0</v>
      </c>
      <c r="KJ33" s="19">
        <f t="shared" si="254"/>
        <v>0</v>
      </c>
      <c r="KK33" s="19">
        <f t="shared" si="254"/>
        <v>0</v>
      </c>
      <c r="KL33" s="19">
        <f t="shared" si="254"/>
        <v>0</v>
      </c>
      <c r="KM33" s="19">
        <f t="shared" si="254"/>
        <v>0</v>
      </c>
      <c r="KN33" s="19">
        <f t="shared" si="254"/>
        <v>0</v>
      </c>
      <c r="KO33" s="19">
        <f t="shared" si="254"/>
        <v>0</v>
      </c>
      <c r="KP33" s="19">
        <f t="shared" si="254"/>
        <v>0</v>
      </c>
      <c r="KQ33" s="19">
        <f t="shared" ref="KQ33:LV33" si="255">KQ5-KQ46</f>
        <v>0</v>
      </c>
      <c r="KR33" s="19">
        <f t="shared" si="255"/>
        <v>0</v>
      </c>
      <c r="KS33" s="19">
        <f t="shared" si="255"/>
        <v>0</v>
      </c>
      <c r="KT33" s="19">
        <f t="shared" si="255"/>
        <v>0</v>
      </c>
      <c r="KU33" s="19">
        <f t="shared" si="255"/>
        <v>0</v>
      </c>
      <c r="KV33" s="19">
        <f t="shared" si="255"/>
        <v>0</v>
      </c>
      <c r="KW33" s="19">
        <f t="shared" si="255"/>
        <v>0</v>
      </c>
      <c r="KX33" s="19">
        <f t="shared" si="255"/>
        <v>0</v>
      </c>
      <c r="KY33" s="19">
        <f t="shared" si="255"/>
        <v>0</v>
      </c>
      <c r="KZ33" s="19">
        <f t="shared" si="255"/>
        <v>0</v>
      </c>
      <c r="LA33" s="19">
        <f t="shared" si="255"/>
        <v>0</v>
      </c>
      <c r="LB33" s="19">
        <f t="shared" si="255"/>
        <v>0</v>
      </c>
      <c r="LC33" s="19">
        <f t="shared" si="255"/>
        <v>0</v>
      </c>
      <c r="LD33" s="19">
        <f t="shared" si="255"/>
        <v>0</v>
      </c>
      <c r="LE33" s="19">
        <f t="shared" si="255"/>
        <v>0</v>
      </c>
      <c r="LF33" s="19">
        <f t="shared" si="255"/>
        <v>0</v>
      </c>
      <c r="LG33" s="19">
        <f t="shared" si="255"/>
        <v>1</v>
      </c>
      <c r="LH33" s="19">
        <f t="shared" si="255"/>
        <v>0</v>
      </c>
      <c r="LI33" s="19">
        <f t="shared" si="255"/>
        <v>0</v>
      </c>
      <c r="LJ33" s="19">
        <f t="shared" si="255"/>
        <v>0</v>
      </c>
      <c r="LK33" s="19">
        <f t="shared" si="255"/>
        <v>0</v>
      </c>
      <c r="LL33" s="19">
        <f t="shared" si="255"/>
        <v>0</v>
      </c>
      <c r="LM33" s="19">
        <f t="shared" si="255"/>
        <v>0</v>
      </c>
      <c r="LN33" s="19">
        <f t="shared" si="255"/>
        <v>1</v>
      </c>
      <c r="LO33" s="19">
        <f t="shared" si="255"/>
        <v>0</v>
      </c>
      <c r="LP33" s="19">
        <f t="shared" si="255"/>
        <v>0</v>
      </c>
      <c r="LQ33" s="19">
        <f t="shared" si="255"/>
        <v>0</v>
      </c>
      <c r="LR33" s="19">
        <f t="shared" si="255"/>
        <v>0</v>
      </c>
      <c r="LS33" s="19">
        <f t="shared" si="255"/>
        <v>0</v>
      </c>
      <c r="LT33" s="19">
        <f t="shared" si="255"/>
        <v>0</v>
      </c>
      <c r="LU33" s="19">
        <f t="shared" si="255"/>
        <v>1</v>
      </c>
      <c r="LV33" s="19">
        <f t="shared" si="255"/>
        <v>0</v>
      </c>
      <c r="LW33" s="19">
        <f t="shared" ref="LW33:NB33" si="256">LW5-LW46</f>
        <v>0</v>
      </c>
      <c r="LX33" s="19">
        <f t="shared" si="256"/>
        <v>1</v>
      </c>
      <c r="LY33" s="19">
        <f t="shared" si="256"/>
        <v>0</v>
      </c>
      <c r="LZ33" s="19">
        <f t="shared" si="256"/>
        <v>1</v>
      </c>
      <c r="MA33" s="19">
        <f t="shared" si="256"/>
        <v>0</v>
      </c>
      <c r="MB33" s="19">
        <f t="shared" si="256"/>
        <v>0</v>
      </c>
      <c r="MC33" s="19">
        <f t="shared" si="256"/>
        <v>1</v>
      </c>
      <c r="MD33" s="19">
        <f t="shared" si="256"/>
        <v>0</v>
      </c>
      <c r="ME33" s="19">
        <f t="shared" si="256"/>
        <v>0</v>
      </c>
      <c r="MF33" s="19">
        <f t="shared" si="256"/>
        <v>0</v>
      </c>
      <c r="MG33" s="19">
        <f t="shared" si="256"/>
        <v>1</v>
      </c>
      <c r="MH33" s="19">
        <f t="shared" si="256"/>
        <v>1</v>
      </c>
      <c r="MI33" s="19">
        <f t="shared" si="256"/>
        <v>0</v>
      </c>
      <c r="MJ33" s="19">
        <f t="shared" si="256"/>
        <v>0</v>
      </c>
      <c r="MK33" s="19">
        <f t="shared" si="256"/>
        <v>1</v>
      </c>
      <c r="ML33" s="19">
        <f t="shared" si="256"/>
        <v>0</v>
      </c>
      <c r="MM33" s="19">
        <f t="shared" si="256"/>
        <v>0</v>
      </c>
      <c r="MN33" s="19">
        <f t="shared" si="256"/>
        <v>1</v>
      </c>
      <c r="MO33" s="19">
        <f t="shared" si="256"/>
        <v>0</v>
      </c>
      <c r="MP33" s="19">
        <f t="shared" si="256"/>
        <v>1</v>
      </c>
      <c r="MQ33" s="19">
        <f t="shared" si="256"/>
        <v>0</v>
      </c>
      <c r="MR33" s="19">
        <f t="shared" si="256"/>
        <v>0</v>
      </c>
      <c r="MS33" s="19">
        <f t="shared" si="256"/>
        <v>1</v>
      </c>
      <c r="MT33" s="19">
        <f t="shared" si="256"/>
        <v>2</v>
      </c>
      <c r="MU33" s="19">
        <f t="shared" si="256"/>
        <v>3</v>
      </c>
      <c r="MV33" s="19">
        <f t="shared" si="256"/>
        <v>3</v>
      </c>
      <c r="MW33" s="19">
        <f t="shared" si="256"/>
        <v>0</v>
      </c>
      <c r="MX33" s="19">
        <f t="shared" si="256"/>
        <v>3</v>
      </c>
      <c r="MY33" s="19">
        <f t="shared" si="256"/>
        <v>1</v>
      </c>
      <c r="MZ33" s="19">
        <f t="shared" si="256"/>
        <v>1</v>
      </c>
      <c r="NA33" s="19">
        <f t="shared" si="256"/>
        <v>3</v>
      </c>
      <c r="NB33" s="19">
        <f t="shared" si="256"/>
        <v>3</v>
      </c>
      <c r="NC33" s="19">
        <f t="shared" ref="NC33:OG33" si="257">NC5-NC46</f>
        <v>6</v>
      </c>
      <c r="ND33" s="19">
        <f t="shared" si="257"/>
        <v>4</v>
      </c>
      <c r="NE33" s="19">
        <f t="shared" si="257"/>
        <v>5</v>
      </c>
      <c r="NF33" s="19">
        <f t="shared" si="257"/>
        <v>5</v>
      </c>
      <c r="NG33" s="19">
        <f t="shared" si="257"/>
        <v>3</v>
      </c>
      <c r="NH33" s="19">
        <f t="shared" si="257"/>
        <v>4</v>
      </c>
      <c r="NI33" s="19">
        <f t="shared" si="257"/>
        <v>5</v>
      </c>
      <c r="NJ33" s="19">
        <f t="shared" si="257"/>
        <v>12</v>
      </c>
      <c r="NK33" s="19">
        <f t="shared" si="257"/>
        <v>3</v>
      </c>
      <c r="NL33" s="19">
        <f t="shared" si="257"/>
        <v>5</v>
      </c>
      <c r="NM33" s="19">
        <f t="shared" si="257"/>
        <v>6</v>
      </c>
      <c r="NN33" s="19">
        <f t="shared" si="257"/>
        <v>8</v>
      </c>
      <c r="NO33" s="19">
        <f t="shared" si="257"/>
        <v>5</v>
      </c>
      <c r="NP33" s="19">
        <f t="shared" si="257"/>
        <v>4</v>
      </c>
      <c r="NQ33" s="19">
        <f t="shared" si="257"/>
        <v>3</v>
      </c>
      <c r="NR33" s="19">
        <f t="shared" si="257"/>
        <v>0</v>
      </c>
      <c r="NS33" s="19">
        <f t="shared" si="257"/>
        <v>0</v>
      </c>
      <c r="NT33" s="19">
        <f t="shared" si="257"/>
        <v>1</v>
      </c>
      <c r="NU33" s="19">
        <f t="shared" si="257"/>
        <v>0</v>
      </c>
      <c r="NV33" s="19">
        <f t="shared" si="257"/>
        <v>1</v>
      </c>
      <c r="NW33" s="19">
        <f t="shared" si="257"/>
        <v>1</v>
      </c>
      <c r="NX33" s="19">
        <f t="shared" si="257"/>
        <v>1</v>
      </c>
      <c r="NY33" s="19">
        <f t="shared" si="257"/>
        <v>1</v>
      </c>
      <c r="NZ33" s="19">
        <f t="shared" si="257"/>
        <v>2</v>
      </c>
      <c r="OA33" s="19">
        <f t="shared" si="257"/>
        <v>0</v>
      </c>
      <c r="OB33" s="19">
        <f t="shared" si="257"/>
        <v>2</v>
      </c>
      <c r="OC33" s="19">
        <f t="shared" si="257"/>
        <v>1</v>
      </c>
      <c r="OD33" s="19">
        <f t="shared" si="257"/>
        <v>1</v>
      </c>
      <c r="OE33" s="19">
        <f t="shared" si="257"/>
        <v>0</v>
      </c>
      <c r="OF33" s="19">
        <f t="shared" si="257"/>
        <v>0</v>
      </c>
      <c r="OG33" s="19">
        <f t="shared" si="257"/>
        <v>-2</v>
      </c>
    </row>
    <row r="34" spans="1:397">
      <c r="A34" s="13" t="s">
        <v>74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9">
        <f t="shared" ref="IE34:JJ34" si="258">IE7-IE47</f>
        <v>5</v>
      </c>
      <c r="IF34" s="19">
        <f t="shared" si="258"/>
        <v>6</v>
      </c>
      <c r="IG34" s="19">
        <f t="shared" si="258"/>
        <v>5</v>
      </c>
      <c r="IH34" s="19">
        <f t="shared" si="258"/>
        <v>3</v>
      </c>
      <c r="II34" s="19">
        <f t="shared" si="258"/>
        <v>12</v>
      </c>
      <c r="IJ34" s="19">
        <f t="shared" si="258"/>
        <v>0</v>
      </c>
      <c r="IK34" s="19">
        <f t="shared" si="258"/>
        <v>3</v>
      </c>
      <c r="IL34" s="19">
        <f t="shared" si="258"/>
        <v>12</v>
      </c>
      <c r="IM34" s="19">
        <f t="shared" si="258"/>
        <v>4</v>
      </c>
      <c r="IN34" s="19">
        <f t="shared" si="258"/>
        <v>15</v>
      </c>
      <c r="IO34" s="19">
        <f t="shared" si="258"/>
        <v>2</v>
      </c>
      <c r="IP34" s="19">
        <f t="shared" si="258"/>
        <v>7</v>
      </c>
      <c r="IQ34" s="19">
        <f t="shared" si="258"/>
        <v>1</v>
      </c>
      <c r="IR34" s="19">
        <f t="shared" si="258"/>
        <v>2</v>
      </c>
      <c r="IS34" s="19">
        <f t="shared" si="258"/>
        <v>2</v>
      </c>
      <c r="IT34" s="19">
        <f t="shared" si="258"/>
        <v>4</v>
      </c>
      <c r="IU34" s="19">
        <f t="shared" si="258"/>
        <v>4</v>
      </c>
      <c r="IV34" s="19">
        <f t="shared" si="258"/>
        <v>6</v>
      </c>
      <c r="IW34" s="19">
        <f t="shared" si="258"/>
        <v>10</v>
      </c>
      <c r="IX34" s="19">
        <f t="shared" si="258"/>
        <v>9</v>
      </c>
      <c r="IY34" s="19">
        <f t="shared" si="258"/>
        <v>3</v>
      </c>
      <c r="IZ34" s="19">
        <f t="shared" si="258"/>
        <v>2</v>
      </c>
      <c r="JA34" s="19">
        <f t="shared" si="258"/>
        <v>5</v>
      </c>
      <c r="JB34" s="19">
        <f t="shared" si="258"/>
        <v>5</v>
      </c>
      <c r="JC34" s="19">
        <f t="shared" si="258"/>
        <v>1</v>
      </c>
      <c r="JD34" s="19">
        <f t="shared" si="258"/>
        <v>8</v>
      </c>
      <c r="JE34" s="19">
        <f t="shared" si="258"/>
        <v>3</v>
      </c>
      <c r="JF34" s="19">
        <f t="shared" si="258"/>
        <v>2</v>
      </c>
      <c r="JG34" s="19">
        <f t="shared" si="258"/>
        <v>10</v>
      </c>
      <c r="JH34" s="19">
        <f t="shared" si="258"/>
        <v>2</v>
      </c>
      <c r="JI34" s="19">
        <f t="shared" si="258"/>
        <v>8</v>
      </c>
      <c r="JJ34" s="19">
        <f t="shared" si="258"/>
        <v>2</v>
      </c>
      <c r="JK34" s="19">
        <f t="shared" ref="JK34:KP34" si="259">JK7-JK47</f>
        <v>8</v>
      </c>
      <c r="JL34" s="19">
        <f t="shared" si="259"/>
        <v>6</v>
      </c>
      <c r="JM34" s="19">
        <f t="shared" si="259"/>
        <v>3</v>
      </c>
      <c r="JN34" s="19">
        <f t="shared" si="259"/>
        <v>3</v>
      </c>
      <c r="JO34" s="19">
        <f t="shared" si="259"/>
        <v>6</v>
      </c>
      <c r="JP34" s="19">
        <f t="shared" si="259"/>
        <v>5</v>
      </c>
      <c r="JQ34" s="19">
        <f t="shared" si="259"/>
        <v>3</v>
      </c>
      <c r="JR34" s="19">
        <f t="shared" si="259"/>
        <v>3</v>
      </c>
      <c r="JS34" s="19">
        <f t="shared" si="259"/>
        <v>11</v>
      </c>
      <c r="JT34" s="19">
        <f t="shared" si="259"/>
        <v>8</v>
      </c>
      <c r="JU34" s="19">
        <f t="shared" si="259"/>
        <v>10</v>
      </c>
      <c r="JV34" s="19">
        <f t="shared" si="259"/>
        <v>14</v>
      </c>
      <c r="JW34" s="19">
        <f t="shared" si="259"/>
        <v>6</v>
      </c>
      <c r="JX34" s="19">
        <f t="shared" si="259"/>
        <v>18</v>
      </c>
      <c r="JY34" s="19">
        <f t="shared" si="259"/>
        <v>27</v>
      </c>
      <c r="JZ34" s="19">
        <f t="shared" si="259"/>
        <v>24</v>
      </c>
      <c r="KA34" s="19">
        <f t="shared" si="259"/>
        <v>74</v>
      </c>
      <c r="KB34" s="19">
        <f t="shared" si="259"/>
        <v>53</v>
      </c>
      <c r="KC34" s="19">
        <f t="shared" si="259"/>
        <v>36</v>
      </c>
      <c r="KD34" s="19">
        <f t="shared" si="259"/>
        <v>46</v>
      </c>
      <c r="KE34" s="19">
        <f t="shared" si="259"/>
        <v>58</v>
      </c>
      <c r="KF34" s="19">
        <f t="shared" si="259"/>
        <v>87</v>
      </c>
      <c r="KG34" s="19">
        <f t="shared" si="259"/>
        <v>53</v>
      </c>
      <c r="KH34" s="19">
        <f t="shared" si="259"/>
        <v>28</v>
      </c>
      <c r="KI34" s="19">
        <f t="shared" si="259"/>
        <v>43</v>
      </c>
      <c r="KJ34" s="19">
        <f t="shared" si="259"/>
        <v>32</v>
      </c>
      <c r="KK34" s="19">
        <f t="shared" si="259"/>
        <v>32</v>
      </c>
      <c r="KL34" s="19">
        <f t="shared" si="259"/>
        <v>23</v>
      </c>
      <c r="KM34" s="19">
        <f t="shared" si="259"/>
        <v>81</v>
      </c>
      <c r="KN34" s="19">
        <f t="shared" si="259"/>
        <v>68</v>
      </c>
      <c r="KO34" s="19">
        <f t="shared" si="259"/>
        <v>37</v>
      </c>
      <c r="KP34" s="19">
        <f t="shared" si="259"/>
        <v>65</v>
      </c>
      <c r="KQ34" s="19">
        <f t="shared" ref="KQ34:LV34" si="260">KQ7-KQ47</f>
        <v>28</v>
      </c>
      <c r="KR34" s="19">
        <f t="shared" si="260"/>
        <v>28</v>
      </c>
      <c r="KS34" s="19">
        <f t="shared" si="260"/>
        <v>23</v>
      </c>
      <c r="KT34" s="19">
        <f t="shared" si="260"/>
        <v>36</v>
      </c>
      <c r="KU34" s="19">
        <f t="shared" si="260"/>
        <v>18</v>
      </c>
      <c r="KV34" s="19">
        <f t="shared" si="260"/>
        <v>20</v>
      </c>
      <c r="KW34" s="19">
        <f t="shared" si="260"/>
        <v>43</v>
      </c>
      <c r="KX34" s="19">
        <f t="shared" si="260"/>
        <v>35</v>
      </c>
      <c r="KY34" s="19">
        <f t="shared" si="260"/>
        <v>43</v>
      </c>
      <c r="KZ34" s="19">
        <f t="shared" si="260"/>
        <v>39</v>
      </c>
      <c r="LA34" s="19">
        <f t="shared" si="260"/>
        <v>50</v>
      </c>
      <c r="LB34" s="19">
        <f t="shared" si="260"/>
        <v>31</v>
      </c>
      <c r="LC34" s="19">
        <f t="shared" si="260"/>
        <v>33</v>
      </c>
      <c r="LD34" s="19">
        <f t="shared" si="260"/>
        <v>42</v>
      </c>
      <c r="LE34" s="19">
        <f t="shared" si="260"/>
        <v>36</v>
      </c>
      <c r="LF34" s="19">
        <f t="shared" si="260"/>
        <v>46</v>
      </c>
      <c r="LG34" s="19">
        <f t="shared" si="260"/>
        <v>43</v>
      </c>
      <c r="LH34" s="19">
        <f t="shared" si="260"/>
        <v>30</v>
      </c>
      <c r="LI34" s="19">
        <f t="shared" si="260"/>
        <v>45</v>
      </c>
      <c r="LJ34" s="19">
        <f t="shared" si="260"/>
        <v>30</v>
      </c>
      <c r="LK34" s="19">
        <f t="shared" si="260"/>
        <v>30</v>
      </c>
      <c r="LL34" s="19">
        <f t="shared" si="260"/>
        <v>22</v>
      </c>
      <c r="LM34" s="19">
        <f t="shared" si="260"/>
        <v>25</v>
      </c>
      <c r="LN34" s="19">
        <f t="shared" si="260"/>
        <v>13</v>
      </c>
      <c r="LO34" s="19">
        <f t="shared" si="260"/>
        <v>11</v>
      </c>
      <c r="LP34" s="19">
        <f t="shared" si="260"/>
        <v>5</v>
      </c>
      <c r="LQ34" s="19">
        <f t="shared" si="260"/>
        <v>10</v>
      </c>
      <c r="LR34" s="19">
        <f t="shared" si="260"/>
        <v>16</v>
      </c>
      <c r="LS34" s="19">
        <f t="shared" si="260"/>
        <v>7</v>
      </c>
      <c r="LT34" s="19">
        <f t="shared" si="260"/>
        <v>10</v>
      </c>
      <c r="LU34" s="19">
        <f t="shared" si="260"/>
        <v>4</v>
      </c>
      <c r="LV34" s="19">
        <f t="shared" si="260"/>
        <v>12</v>
      </c>
      <c r="LW34" s="19">
        <f t="shared" ref="LW34:NB34" si="261">LW7-LW47</f>
        <v>12</v>
      </c>
      <c r="LX34" s="19">
        <f t="shared" si="261"/>
        <v>14</v>
      </c>
      <c r="LY34" s="19">
        <f t="shared" si="261"/>
        <v>29</v>
      </c>
      <c r="LZ34" s="19">
        <f t="shared" si="261"/>
        <v>27</v>
      </c>
      <c r="MA34" s="19">
        <f t="shared" si="261"/>
        <v>24</v>
      </c>
      <c r="MB34" s="19">
        <f t="shared" si="261"/>
        <v>26</v>
      </c>
      <c r="MC34" s="19">
        <f t="shared" si="261"/>
        <v>37</v>
      </c>
      <c r="MD34" s="19">
        <f t="shared" si="261"/>
        <v>22</v>
      </c>
      <c r="ME34" s="19">
        <f t="shared" si="261"/>
        <v>35</v>
      </c>
      <c r="MF34" s="19">
        <f t="shared" si="261"/>
        <v>40</v>
      </c>
      <c r="MG34" s="19">
        <f t="shared" si="261"/>
        <v>63</v>
      </c>
      <c r="MH34" s="19">
        <f t="shared" si="261"/>
        <v>76</v>
      </c>
      <c r="MI34" s="19">
        <f t="shared" si="261"/>
        <v>107</v>
      </c>
      <c r="MJ34" s="19">
        <f t="shared" si="261"/>
        <v>145</v>
      </c>
      <c r="MK34" s="19">
        <f t="shared" si="261"/>
        <v>113</v>
      </c>
      <c r="ML34" s="19">
        <f t="shared" si="261"/>
        <v>118</v>
      </c>
      <c r="MM34" s="19">
        <f t="shared" si="261"/>
        <v>176</v>
      </c>
      <c r="MN34" s="19">
        <f t="shared" si="261"/>
        <v>194</v>
      </c>
      <c r="MO34" s="19">
        <f t="shared" si="261"/>
        <v>266</v>
      </c>
      <c r="MP34" s="19">
        <f t="shared" si="261"/>
        <v>263</v>
      </c>
      <c r="MQ34" s="19">
        <f t="shared" si="261"/>
        <v>332</v>
      </c>
      <c r="MR34" s="19">
        <f t="shared" si="261"/>
        <v>267</v>
      </c>
      <c r="MS34" s="19">
        <f t="shared" si="261"/>
        <v>331</v>
      </c>
      <c r="MT34" s="19">
        <f t="shared" si="261"/>
        <v>393</v>
      </c>
      <c r="MU34" s="19">
        <f t="shared" si="261"/>
        <v>419</v>
      </c>
      <c r="MV34" s="19">
        <f t="shared" si="261"/>
        <v>462</v>
      </c>
      <c r="MW34" s="19">
        <f t="shared" si="261"/>
        <v>364</v>
      </c>
      <c r="MX34" s="19">
        <f t="shared" si="261"/>
        <v>473</v>
      </c>
      <c r="MY34" s="19">
        <f t="shared" si="261"/>
        <v>407</v>
      </c>
      <c r="MZ34" s="19">
        <f t="shared" si="261"/>
        <v>488</v>
      </c>
      <c r="NA34" s="19">
        <f t="shared" si="261"/>
        <v>626</v>
      </c>
      <c r="NB34" s="19">
        <f t="shared" si="261"/>
        <v>658</v>
      </c>
      <c r="NC34" s="19">
        <f t="shared" ref="NC34:OG34" si="262">NC7-NC47</f>
        <v>570</v>
      </c>
      <c r="ND34" s="19">
        <f t="shared" si="262"/>
        <v>558</v>
      </c>
      <c r="NE34" s="19">
        <f t="shared" si="262"/>
        <v>478</v>
      </c>
      <c r="NF34" s="19">
        <f t="shared" si="262"/>
        <v>409</v>
      </c>
      <c r="NG34" s="19">
        <f t="shared" si="262"/>
        <v>474</v>
      </c>
      <c r="NH34" s="19">
        <f t="shared" si="262"/>
        <v>461</v>
      </c>
      <c r="NI34" s="19">
        <f t="shared" si="262"/>
        <v>391</v>
      </c>
      <c r="NJ34" s="19">
        <f t="shared" si="262"/>
        <v>369</v>
      </c>
      <c r="NK34" s="19">
        <f t="shared" si="262"/>
        <v>327</v>
      </c>
      <c r="NL34" s="19">
        <f t="shared" si="262"/>
        <v>289</v>
      </c>
      <c r="NM34" s="19">
        <f t="shared" si="262"/>
        <v>276</v>
      </c>
      <c r="NN34" s="19">
        <f t="shared" si="262"/>
        <v>276</v>
      </c>
      <c r="NO34" s="19">
        <f t="shared" si="262"/>
        <v>212</v>
      </c>
      <c r="NP34" s="19">
        <f t="shared" si="262"/>
        <v>203</v>
      </c>
      <c r="NQ34" s="19">
        <f t="shared" si="262"/>
        <v>148</v>
      </c>
      <c r="NR34" s="19">
        <f t="shared" si="262"/>
        <v>137</v>
      </c>
      <c r="NS34" s="19">
        <f t="shared" si="262"/>
        <v>56</v>
      </c>
      <c r="NT34" s="19">
        <f t="shared" si="262"/>
        <v>67</v>
      </c>
      <c r="NU34" s="19">
        <f t="shared" si="262"/>
        <v>36</v>
      </c>
      <c r="NV34" s="19">
        <f t="shared" si="262"/>
        <v>22</v>
      </c>
      <c r="NW34" s="19">
        <f t="shared" si="262"/>
        <v>21</v>
      </c>
      <c r="NX34" s="19">
        <f t="shared" si="262"/>
        <v>11</v>
      </c>
      <c r="NY34" s="19">
        <f t="shared" si="262"/>
        <v>43</v>
      </c>
      <c r="NZ34" s="19">
        <f t="shared" si="262"/>
        <v>9</v>
      </c>
      <c r="OA34" s="19">
        <f t="shared" si="262"/>
        <v>0</v>
      </c>
      <c r="OB34" s="19">
        <f t="shared" si="262"/>
        <v>1</v>
      </c>
      <c r="OC34" s="19">
        <f t="shared" si="262"/>
        <v>2</v>
      </c>
      <c r="OD34" s="19">
        <f t="shared" si="262"/>
        <v>3</v>
      </c>
      <c r="OE34" s="19">
        <f t="shared" si="262"/>
        <v>0</v>
      </c>
      <c r="OF34" s="19">
        <f t="shared" si="262"/>
        <v>-3</v>
      </c>
      <c r="OG34" s="19">
        <f t="shared" si="262"/>
        <v>0</v>
      </c>
    </row>
    <row r="35" spans="1:397">
      <c r="A35" s="13" t="s">
        <v>80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9">
        <f t="shared" ref="IE35:JJ35" si="263">IE9-IE51</f>
        <v>405</v>
      </c>
      <c r="IF35" s="19">
        <f t="shared" si="263"/>
        <v>389</v>
      </c>
      <c r="IG35" s="19">
        <f t="shared" si="263"/>
        <v>382</v>
      </c>
      <c r="IH35" s="19">
        <f t="shared" si="263"/>
        <v>368</v>
      </c>
      <c r="II35" s="19">
        <f t="shared" si="263"/>
        <v>359</v>
      </c>
      <c r="IJ35" s="19">
        <f t="shared" si="263"/>
        <v>349</v>
      </c>
      <c r="IK35" s="19">
        <f t="shared" si="263"/>
        <v>331</v>
      </c>
      <c r="IL35" s="19">
        <f t="shared" si="263"/>
        <v>308</v>
      </c>
      <c r="IM35" s="19">
        <f t="shared" si="263"/>
        <v>293</v>
      </c>
      <c r="IN35" s="19">
        <f t="shared" si="263"/>
        <v>265</v>
      </c>
      <c r="IO35" s="19">
        <f t="shared" si="263"/>
        <v>252</v>
      </c>
      <c r="IP35" s="19">
        <f t="shared" si="263"/>
        <v>210</v>
      </c>
      <c r="IQ35" s="19">
        <f t="shared" si="263"/>
        <v>177</v>
      </c>
      <c r="IR35" s="19">
        <f t="shared" si="263"/>
        <v>129</v>
      </c>
      <c r="IS35" s="19">
        <f t="shared" si="263"/>
        <v>74</v>
      </c>
      <c r="IT35" s="19">
        <f t="shared" si="263"/>
        <v>65</v>
      </c>
      <c r="IU35" s="19">
        <f t="shared" si="263"/>
        <v>62</v>
      </c>
      <c r="IV35" s="19">
        <f t="shared" si="263"/>
        <v>55</v>
      </c>
      <c r="IW35" s="19">
        <f t="shared" si="263"/>
        <v>58</v>
      </c>
      <c r="IX35" s="19">
        <f t="shared" si="263"/>
        <v>65</v>
      </c>
      <c r="IY35" s="19">
        <f t="shared" si="263"/>
        <v>70</v>
      </c>
      <c r="IZ35" s="19">
        <f t="shared" si="263"/>
        <v>67</v>
      </c>
      <c r="JA35" s="19">
        <f t="shared" si="263"/>
        <v>66</v>
      </c>
      <c r="JB35" s="19">
        <f t="shared" si="263"/>
        <v>66</v>
      </c>
      <c r="JC35" s="19">
        <f t="shared" si="263"/>
        <v>70</v>
      </c>
      <c r="JD35" s="19">
        <f t="shared" si="263"/>
        <v>70</v>
      </c>
      <c r="JE35" s="19">
        <f t="shared" si="263"/>
        <v>73</v>
      </c>
      <c r="JF35" s="19">
        <f t="shared" si="263"/>
        <v>59</v>
      </c>
      <c r="JG35" s="19">
        <f t="shared" si="263"/>
        <v>59</v>
      </c>
      <c r="JH35" s="19">
        <f t="shared" si="263"/>
        <v>65</v>
      </c>
      <c r="JI35" s="19">
        <f t="shared" si="263"/>
        <v>67</v>
      </c>
      <c r="JJ35" s="19">
        <f t="shared" si="263"/>
        <v>73</v>
      </c>
      <c r="JK35" s="19">
        <f t="shared" ref="JK35:KP35" si="264">JK9-JK51</f>
        <v>75</v>
      </c>
      <c r="JL35" s="19">
        <f t="shared" si="264"/>
        <v>77</v>
      </c>
      <c r="JM35" s="19">
        <f t="shared" si="264"/>
        <v>72</v>
      </c>
      <c r="JN35" s="19">
        <f t="shared" si="264"/>
        <v>72</v>
      </c>
      <c r="JO35" s="19">
        <f t="shared" si="264"/>
        <v>75</v>
      </c>
      <c r="JP35" s="19">
        <f t="shared" si="264"/>
        <v>77</v>
      </c>
      <c r="JQ35" s="19">
        <f t="shared" si="264"/>
        <v>80</v>
      </c>
      <c r="JR35" s="19">
        <f t="shared" si="264"/>
        <v>78</v>
      </c>
      <c r="JS35" s="19">
        <f t="shared" si="264"/>
        <v>76</v>
      </c>
      <c r="JT35" s="19">
        <f t="shared" si="264"/>
        <v>80</v>
      </c>
      <c r="JU35" s="19">
        <f t="shared" si="264"/>
        <v>83</v>
      </c>
      <c r="JV35" s="19">
        <f t="shared" si="264"/>
        <v>85</v>
      </c>
      <c r="JW35" s="19">
        <f t="shared" si="264"/>
        <v>95</v>
      </c>
      <c r="JX35" s="19">
        <f t="shared" si="264"/>
        <v>98</v>
      </c>
      <c r="JY35" s="19">
        <f t="shared" si="264"/>
        <v>109</v>
      </c>
      <c r="JZ35" s="19">
        <f t="shared" si="264"/>
        <v>135</v>
      </c>
      <c r="KA35" s="19">
        <f t="shared" si="264"/>
        <v>147</v>
      </c>
      <c r="KB35" s="19">
        <f t="shared" si="264"/>
        <v>208</v>
      </c>
      <c r="KC35" s="19">
        <f t="shared" si="264"/>
        <v>260</v>
      </c>
      <c r="KD35" s="19">
        <f t="shared" si="264"/>
        <v>295</v>
      </c>
      <c r="KE35" s="19">
        <f t="shared" si="264"/>
        <v>339</v>
      </c>
      <c r="KF35" s="19">
        <f t="shared" si="264"/>
        <v>395</v>
      </c>
      <c r="KG35" s="19">
        <f t="shared" si="264"/>
        <v>481</v>
      </c>
      <c r="KH35" s="19">
        <f t="shared" si="264"/>
        <v>531</v>
      </c>
      <c r="KI35" s="19">
        <f t="shared" si="264"/>
        <v>557</v>
      </c>
      <c r="KJ35" s="19">
        <f t="shared" si="264"/>
        <v>599</v>
      </c>
      <c r="KK35" s="19">
        <f t="shared" si="264"/>
        <v>619</v>
      </c>
      <c r="KL35" s="19">
        <f t="shared" si="264"/>
        <v>647</v>
      </c>
      <c r="KM35" s="19">
        <f t="shared" si="264"/>
        <v>648</v>
      </c>
      <c r="KN35" s="19">
        <f t="shared" si="264"/>
        <v>723</v>
      </c>
      <c r="KO35" s="19">
        <f t="shared" si="264"/>
        <v>789</v>
      </c>
      <c r="KP35" s="19">
        <f t="shared" si="264"/>
        <v>815</v>
      </c>
      <c r="KQ35" s="19">
        <f t="shared" ref="KQ35:LV35" si="265">KQ9-KQ51</f>
        <v>868</v>
      </c>
      <c r="KR35" s="19">
        <f t="shared" si="265"/>
        <v>890</v>
      </c>
      <c r="KS35" s="19">
        <f t="shared" si="265"/>
        <v>908</v>
      </c>
      <c r="KT35" s="19">
        <f t="shared" si="265"/>
        <v>901</v>
      </c>
      <c r="KU35" s="19">
        <f t="shared" si="265"/>
        <v>926</v>
      </c>
      <c r="KV35" s="19">
        <f t="shared" si="265"/>
        <v>932</v>
      </c>
      <c r="KW35" s="19">
        <f t="shared" si="265"/>
        <v>936</v>
      </c>
      <c r="KX35" s="19">
        <f t="shared" si="265"/>
        <v>952</v>
      </c>
      <c r="KY35" s="19">
        <f t="shared" si="265"/>
        <v>961</v>
      </c>
      <c r="KZ35" s="19">
        <f t="shared" si="265"/>
        <v>958</v>
      </c>
      <c r="LA35" s="19">
        <f t="shared" si="265"/>
        <v>951</v>
      </c>
      <c r="LB35" s="19">
        <f t="shared" si="265"/>
        <v>912</v>
      </c>
      <c r="LC35" s="19">
        <f t="shared" si="265"/>
        <v>835</v>
      </c>
      <c r="LD35" s="19">
        <f t="shared" si="265"/>
        <v>769</v>
      </c>
      <c r="LE35" s="19">
        <f t="shared" si="265"/>
        <v>765</v>
      </c>
      <c r="LF35" s="19">
        <f t="shared" si="265"/>
        <v>759</v>
      </c>
      <c r="LG35" s="19">
        <f t="shared" si="265"/>
        <v>742</v>
      </c>
      <c r="LH35" s="19">
        <f t="shared" si="265"/>
        <v>724</v>
      </c>
      <c r="LI35" s="19">
        <f t="shared" si="265"/>
        <v>722</v>
      </c>
      <c r="LJ35" s="19">
        <f t="shared" si="265"/>
        <v>728</v>
      </c>
      <c r="LK35" s="19">
        <f t="shared" si="265"/>
        <v>728</v>
      </c>
      <c r="LL35" s="19">
        <f t="shared" si="265"/>
        <v>740</v>
      </c>
      <c r="LM35" s="19">
        <f t="shared" si="265"/>
        <v>731</v>
      </c>
      <c r="LN35" s="19">
        <f t="shared" si="265"/>
        <v>721</v>
      </c>
      <c r="LO35" s="19">
        <f t="shared" si="265"/>
        <v>700</v>
      </c>
      <c r="LP35" s="19">
        <f t="shared" si="265"/>
        <v>663</v>
      </c>
      <c r="LQ35" s="19">
        <f t="shared" si="265"/>
        <v>637</v>
      </c>
      <c r="LR35" s="19">
        <f t="shared" si="265"/>
        <v>602</v>
      </c>
      <c r="LS35" s="19">
        <f t="shared" si="265"/>
        <v>564</v>
      </c>
      <c r="LT35" s="19">
        <f t="shared" si="265"/>
        <v>516</v>
      </c>
      <c r="LU35" s="19">
        <f t="shared" si="265"/>
        <v>459</v>
      </c>
      <c r="LV35" s="19">
        <f t="shared" si="265"/>
        <v>417</v>
      </c>
      <c r="LW35" s="19">
        <f t="shared" ref="LW35:NB35" si="266">LW9-LW51</f>
        <v>352</v>
      </c>
      <c r="LX35" s="19">
        <f t="shared" si="266"/>
        <v>325</v>
      </c>
      <c r="LY35" s="19">
        <f t="shared" si="266"/>
        <v>294</v>
      </c>
      <c r="LZ35" s="19">
        <f t="shared" si="266"/>
        <v>282</v>
      </c>
      <c r="MA35" s="19">
        <f t="shared" si="266"/>
        <v>271</v>
      </c>
      <c r="MB35" s="19">
        <f t="shared" si="266"/>
        <v>261</v>
      </c>
      <c r="MC35" s="19">
        <f t="shared" si="266"/>
        <v>275</v>
      </c>
      <c r="MD35" s="19">
        <f t="shared" si="266"/>
        <v>293</v>
      </c>
      <c r="ME35" s="19">
        <f t="shared" si="266"/>
        <v>303</v>
      </c>
      <c r="MF35" s="19">
        <f t="shared" si="266"/>
        <v>322</v>
      </c>
      <c r="MG35" s="19">
        <f t="shared" si="266"/>
        <v>355</v>
      </c>
      <c r="MH35" s="19">
        <f t="shared" si="266"/>
        <v>404</v>
      </c>
      <c r="MI35" s="19">
        <f t="shared" si="266"/>
        <v>474</v>
      </c>
      <c r="MJ35" s="19">
        <f t="shared" si="266"/>
        <v>570</v>
      </c>
      <c r="MK35" s="19">
        <f t="shared" si="266"/>
        <v>713</v>
      </c>
      <c r="ML35" s="19">
        <f t="shared" si="266"/>
        <v>823</v>
      </c>
      <c r="MM35" s="19">
        <f t="shared" si="266"/>
        <v>938</v>
      </c>
      <c r="MN35" s="19">
        <f t="shared" si="266"/>
        <v>1089</v>
      </c>
      <c r="MO35" s="19">
        <f t="shared" si="266"/>
        <v>1267</v>
      </c>
      <c r="MP35" s="19">
        <f t="shared" si="266"/>
        <v>1528</v>
      </c>
      <c r="MQ35" s="19">
        <f t="shared" si="266"/>
        <v>1788</v>
      </c>
      <c r="MR35" s="19">
        <f t="shared" si="266"/>
        <v>2110</v>
      </c>
      <c r="MS35" s="19">
        <f t="shared" si="266"/>
        <v>2370</v>
      </c>
      <c r="MT35" s="19">
        <f t="shared" si="266"/>
        <v>2699</v>
      </c>
      <c r="MU35" s="19">
        <f t="shared" si="266"/>
        <v>3090</v>
      </c>
      <c r="MV35" s="19">
        <f t="shared" si="266"/>
        <v>3503</v>
      </c>
      <c r="MW35" s="19">
        <f t="shared" si="266"/>
        <v>3944</v>
      </c>
      <c r="MX35" s="19">
        <f t="shared" si="266"/>
        <v>4303</v>
      </c>
      <c r="MY35" s="19">
        <f t="shared" si="266"/>
        <v>4770</v>
      </c>
      <c r="MZ35" s="19">
        <f t="shared" si="266"/>
        <v>11479</v>
      </c>
      <c r="NA35" s="19">
        <f t="shared" si="266"/>
        <v>12248</v>
      </c>
      <c r="NB35" s="19">
        <f t="shared" si="266"/>
        <v>12909</v>
      </c>
      <c r="NC35" s="19">
        <f t="shared" ref="NC35:OG35" si="267">NC9-NC51</f>
        <v>12558</v>
      </c>
      <c r="ND35" s="19">
        <f t="shared" si="267"/>
        <v>14334</v>
      </c>
      <c r="NE35" s="19">
        <f t="shared" si="267"/>
        <v>16059</v>
      </c>
      <c r="NF35" s="19">
        <f t="shared" si="267"/>
        <v>17120</v>
      </c>
      <c r="NG35" s="19">
        <f t="shared" si="267"/>
        <v>17969</v>
      </c>
      <c r="NH35" s="19">
        <f t="shared" si="267"/>
        <v>18766</v>
      </c>
      <c r="NI35" s="19">
        <f t="shared" si="267"/>
        <v>19029</v>
      </c>
      <c r="NJ35" s="19">
        <f t="shared" si="267"/>
        <v>18833</v>
      </c>
      <c r="NK35" s="19">
        <f t="shared" si="267"/>
        <v>12679</v>
      </c>
      <c r="NL35" s="19">
        <f t="shared" si="267"/>
        <v>12539</v>
      </c>
      <c r="NM35" s="19">
        <f t="shared" si="267"/>
        <v>13822</v>
      </c>
      <c r="NN35" s="19">
        <f t="shared" si="267"/>
        <v>12745</v>
      </c>
      <c r="NO35" s="19">
        <f t="shared" si="267"/>
        <v>11939</v>
      </c>
      <c r="NP35" s="19">
        <f t="shared" si="267"/>
        <v>13181</v>
      </c>
      <c r="NQ35" s="19">
        <f t="shared" si="267"/>
        <v>11988</v>
      </c>
      <c r="NR35" s="19">
        <f t="shared" si="267"/>
        <v>-12627</v>
      </c>
      <c r="NS35" s="19">
        <f t="shared" si="267"/>
        <v>-10990</v>
      </c>
      <c r="NT35" s="19">
        <f t="shared" si="267"/>
        <v>-9618</v>
      </c>
      <c r="NU35" s="19">
        <f t="shared" si="267"/>
        <v>-8565</v>
      </c>
      <c r="NV35" s="19">
        <f t="shared" si="267"/>
        <v>-6738</v>
      </c>
      <c r="NW35" s="19">
        <f t="shared" si="267"/>
        <v>-5486</v>
      </c>
      <c r="NX35" s="19">
        <f t="shared" si="267"/>
        <v>-4334</v>
      </c>
      <c r="NY35" s="19">
        <f t="shared" si="267"/>
        <v>-3349</v>
      </c>
      <c r="NZ35" s="19">
        <f t="shared" si="267"/>
        <v>-2567</v>
      </c>
      <c r="OA35" s="19">
        <f t="shared" si="267"/>
        <v>0</v>
      </c>
      <c r="OB35" s="19">
        <f t="shared" si="267"/>
        <v>0</v>
      </c>
      <c r="OC35" s="19">
        <f t="shared" si="267"/>
        <v>-658</v>
      </c>
      <c r="OD35" s="19">
        <f t="shared" si="267"/>
        <v>-494</v>
      </c>
      <c r="OE35" s="19">
        <f t="shared" si="267"/>
        <v>-399</v>
      </c>
      <c r="OF35" s="19">
        <f t="shared" si="267"/>
        <v>-338</v>
      </c>
      <c r="OG35" s="19">
        <f t="shared" si="267"/>
        <v>-239</v>
      </c>
    </row>
    <row r="36" spans="1:397">
      <c r="A36" s="13" t="s">
        <v>79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9">
        <f t="shared" ref="IE36:JJ36" si="268">IE14-IE48</f>
        <v>15348</v>
      </c>
      <c r="IF36" s="19">
        <f t="shared" si="268"/>
        <v>15327</v>
      </c>
      <c r="IG36" s="19">
        <f t="shared" si="268"/>
        <v>15314</v>
      </c>
      <c r="IH36" s="19">
        <f t="shared" si="268"/>
        <v>15295</v>
      </c>
      <c r="II36" s="19">
        <f t="shared" si="268"/>
        <v>15283</v>
      </c>
      <c r="IJ36" s="19">
        <f t="shared" si="268"/>
        <v>15261</v>
      </c>
      <c r="IK36" s="19">
        <f t="shared" si="268"/>
        <v>15243</v>
      </c>
      <c r="IL36" s="19">
        <f t="shared" si="268"/>
        <v>15217</v>
      </c>
      <c r="IM36" s="19">
        <f t="shared" si="268"/>
        <v>15190</v>
      </c>
      <c r="IN36" s="19">
        <f t="shared" si="268"/>
        <v>15158</v>
      </c>
      <c r="IO36" s="19">
        <f t="shared" si="268"/>
        <v>15130</v>
      </c>
      <c r="IP36" s="19">
        <f t="shared" si="268"/>
        <v>15086</v>
      </c>
      <c r="IQ36" s="19">
        <f t="shared" si="268"/>
        <v>15046</v>
      </c>
      <c r="IR36" s="19">
        <f t="shared" si="268"/>
        <v>14997</v>
      </c>
      <c r="IS36" s="19">
        <f t="shared" si="268"/>
        <v>14940</v>
      </c>
      <c r="IT36" s="19">
        <f t="shared" si="268"/>
        <v>14929</v>
      </c>
      <c r="IU36" s="19">
        <f t="shared" si="268"/>
        <v>14922</v>
      </c>
      <c r="IV36" s="19">
        <f t="shared" si="268"/>
        <v>14911</v>
      </c>
      <c r="IW36" s="19">
        <f t="shared" si="268"/>
        <v>14908</v>
      </c>
      <c r="IX36" s="19">
        <f t="shared" si="268"/>
        <v>14905</v>
      </c>
      <c r="IY36" s="19">
        <f t="shared" si="268"/>
        <v>14901</v>
      </c>
      <c r="IZ36" s="19">
        <f t="shared" si="268"/>
        <v>14895</v>
      </c>
      <c r="JA36" s="19">
        <f t="shared" si="268"/>
        <v>14892</v>
      </c>
      <c r="JB36" s="19">
        <f t="shared" si="268"/>
        <v>14887</v>
      </c>
      <c r="JC36" s="19">
        <f t="shared" si="268"/>
        <v>14886</v>
      </c>
      <c r="JD36" s="19">
        <f t="shared" si="268"/>
        <v>14887</v>
      </c>
      <c r="JE36" s="19">
        <f t="shared" si="268"/>
        <v>14882</v>
      </c>
      <c r="JF36" s="19">
        <f t="shared" si="268"/>
        <v>14866</v>
      </c>
      <c r="JG36" s="19">
        <f t="shared" si="268"/>
        <v>14864</v>
      </c>
      <c r="JH36" s="19">
        <f t="shared" si="268"/>
        <v>14860</v>
      </c>
      <c r="JI36" s="19">
        <f t="shared" si="268"/>
        <v>14860</v>
      </c>
      <c r="JJ36" s="19">
        <f t="shared" si="268"/>
        <v>14858</v>
      </c>
      <c r="JK36" s="19">
        <f t="shared" ref="JK36:KP36" si="269">JK14-JK48</f>
        <v>14857</v>
      </c>
      <c r="JL36" s="19">
        <f t="shared" si="269"/>
        <v>14850</v>
      </c>
      <c r="JM36" s="19">
        <f t="shared" si="269"/>
        <v>14839</v>
      </c>
      <c r="JN36" s="19">
        <f t="shared" si="269"/>
        <v>14836</v>
      </c>
      <c r="JO36" s="19">
        <f t="shared" si="269"/>
        <v>14836</v>
      </c>
      <c r="JP36" s="19">
        <f t="shared" si="269"/>
        <v>14832</v>
      </c>
      <c r="JQ36" s="19">
        <f t="shared" si="269"/>
        <v>14830</v>
      </c>
      <c r="JR36" s="19">
        <f t="shared" si="269"/>
        <v>14825</v>
      </c>
      <c r="JS36" s="19">
        <f t="shared" si="269"/>
        <v>14820</v>
      </c>
      <c r="JT36" s="19">
        <f t="shared" si="269"/>
        <v>14813</v>
      </c>
      <c r="JU36" s="19">
        <f t="shared" si="269"/>
        <v>14807</v>
      </c>
      <c r="JV36" s="19">
        <f t="shared" si="269"/>
        <v>14799</v>
      </c>
      <c r="JW36" s="19">
        <f t="shared" si="269"/>
        <v>14795</v>
      </c>
      <c r="JX36" s="19">
        <f t="shared" si="269"/>
        <v>14792</v>
      </c>
      <c r="JY36" s="19">
        <f t="shared" si="269"/>
        <v>14785</v>
      </c>
      <c r="JZ36" s="19">
        <f t="shared" si="269"/>
        <v>14784</v>
      </c>
      <c r="KA36" s="19">
        <f t="shared" si="269"/>
        <v>14772</v>
      </c>
      <c r="KB36" s="19">
        <f t="shared" si="269"/>
        <v>14759</v>
      </c>
      <c r="KC36" s="19">
        <f t="shared" si="269"/>
        <v>14758</v>
      </c>
      <c r="KD36" s="19">
        <f t="shared" si="269"/>
        <v>14757</v>
      </c>
      <c r="KE36" s="19">
        <f t="shared" si="269"/>
        <v>14755</v>
      </c>
      <c r="KF36" s="19">
        <f t="shared" si="269"/>
        <v>14753</v>
      </c>
      <c r="KG36" s="19">
        <f t="shared" si="269"/>
        <v>14752</v>
      </c>
      <c r="KH36" s="19">
        <f t="shared" si="269"/>
        <v>14749</v>
      </c>
      <c r="KI36" s="19">
        <f t="shared" si="269"/>
        <v>14747</v>
      </c>
      <c r="KJ36" s="19">
        <f t="shared" si="269"/>
        <v>14746</v>
      </c>
      <c r="KK36" s="19">
        <f t="shared" si="269"/>
        <v>14734</v>
      </c>
      <c r="KL36" s="19">
        <f t="shared" si="269"/>
        <v>14730</v>
      </c>
      <c r="KM36" s="19">
        <f t="shared" si="269"/>
        <v>14708</v>
      </c>
      <c r="KN36" s="19">
        <f t="shared" si="269"/>
        <v>14702</v>
      </c>
      <c r="KO36" s="19">
        <f t="shared" si="269"/>
        <v>14699</v>
      </c>
      <c r="KP36" s="19">
        <f t="shared" si="269"/>
        <v>14688</v>
      </c>
      <c r="KQ36" s="19">
        <f t="shared" ref="KQ36:LV36" si="270">KQ14-KQ48</f>
        <v>14676</v>
      </c>
      <c r="KR36" s="19">
        <f t="shared" si="270"/>
        <v>14670</v>
      </c>
      <c r="KS36" s="19">
        <f t="shared" si="270"/>
        <v>14660</v>
      </c>
      <c r="KT36" s="19">
        <f t="shared" si="270"/>
        <v>14630</v>
      </c>
      <c r="KU36" s="19">
        <f t="shared" si="270"/>
        <v>14619</v>
      </c>
      <c r="KV36" s="19">
        <f t="shared" si="270"/>
        <v>14607</v>
      </c>
      <c r="KW36" s="19">
        <f t="shared" si="270"/>
        <v>14591</v>
      </c>
      <c r="KX36" s="19">
        <f t="shared" si="270"/>
        <v>14564</v>
      </c>
      <c r="KY36" s="19">
        <f t="shared" si="270"/>
        <v>14538</v>
      </c>
      <c r="KZ36" s="19">
        <f t="shared" si="270"/>
        <v>14492</v>
      </c>
      <c r="LA36" s="19">
        <f t="shared" si="270"/>
        <v>14446</v>
      </c>
      <c r="LB36" s="19">
        <f t="shared" si="270"/>
        <v>14357</v>
      </c>
      <c r="LC36" s="19">
        <f t="shared" si="270"/>
        <v>14249</v>
      </c>
      <c r="LD36" s="19">
        <f t="shared" si="270"/>
        <v>14150</v>
      </c>
      <c r="LE36" s="19">
        <f t="shared" si="270"/>
        <v>14104</v>
      </c>
      <c r="LF36" s="19">
        <f t="shared" si="270"/>
        <v>14062</v>
      </c>
      <c r="LG36" s="19">
        <f t="shared" si="270"/>
        <v>13999</v>
      </c>
      <c r="LH36" s="19">
        <f t="shared" si="270"/>
        <v>13937</v>
      </c>
      <c r="LI36" s="19">
        <f t="shared" si="270"/>
        <v>13905</v>
      </c>
      <c r="LJ36" s="19">
        <f t="shared" si="270"/>
        <v>13866</v>
      </c>
      <c r="LK36" s="19">
        <f t="shared" si="270"/>
        <v>13836</v>
      </c>
      <c r="LL36" s="19">
        <f t="shared" si="270"/>
        <v>13818</v>
      </c>
      <c r="LM36" s="19">
        <f t="shared" si="270"/>
        <v>13787</v>
      </c>
      <c r="LN36" s="19">
        <f t="shared" si="270"/>
        <v>13752</v>
      </c>
      <c r="LO36" s="19">
        <f t="shared" si="270"/>
        <v>13717</v>
      </c>
      <c r="LP36" s="19">
        <f t="shared" si="270"/>
        <v>13669</v>
      </c>
      <c r="LQ36" s="19">
        <f t="shared" si="270"/>
        <v>13638</v>
      </c>
      <c r="LR36" s="19">
        <f t="shared" si="270"/>
        <v>13593</v>
      </c>
      <c r="LS36" s="19">
        <f t="shared" si="270"/>
        <v>13539</v>
      </c>
      <c r="LT36" s="19">
        <f t="shared" si="270"/>
        <v>13484</v>
      </c>
      <c r="LU36" s="19">
        <f t="shared" si="270"/>
        <v>13417</v>
      </c>
      <c r="LV36" s="19">
        <f t="shared" si="270"/>
        <v>13370</v>
      </c>
      <c r="LW36" s="19">
        <f t="shared" ref="LW36:NB36" si="271">LW14-LW48</f>
        <v>13293</v>
      </c>
      <c r="LX36" s="19">
        <f t="shared" si="271"/>
        <v>13254</v>
      </c>
      <c r="LY36" s="19">
        <f t="shared" si="271"/>
        <v>13208</v>
      </c>
      <c r="LZ36" s="19">
        <f t="shared" si="271"/>
        <v>13167</v>
      </c>
      <c r="MA36" s="19">
        <f t="shared" si="271"/>
        <v>13128</v>
      </c>
      <c r="MB36" s="19">
        <f t="shared" si="271"/>
        <v>13094</v>
      </c>
      <c r="MC36" s="19">
        <f t="shared" si="271"/>
        <v>13082</v>
      </c>
      <c r="MD36" s="19">
        <f t="shared" si="271"/>
        <v>13062</v>
      </c>
      <c r="ME36" s="19">
        <f t="shared" si="271"/>
        <v>13050</v>
      </c>
      <c r="MF36" s="19">
        <f t="shared" si="271"/>
        <v>13034</v>
      </c>
      <c r="MG36" s="19">
        <f t="shared" si="271"/>
        <v>13027</v>
      </c>
      <c r="MH36" s="19">
        <f t="shared" si="271"/>
        <v>13012</v>
      </c>
      <c r="MI36" s="19">
        <f t="shared" si="271"/>
        <v>13005</v>
      </c>
      <c r="MJ36" s="19">
        <f t="shared" si="271"/>
        <v>12994</v>
      </c>
      <c r="MK36" s="19">
        <f t="shared" si="271"/>
        <v>12992</v>
      </c>
      <c r="ML36" s="19">
        <f t="shared" si="271"/>
        <v>12988</v>
      </c>
      <c r="MM36" s="19">
        <f t="shared" si="271"/>
        <v>12985</v>
      </c>
      <c r="MN36" s="19">
        <f t="shared" si="271"/>
        <v>12960</v>
      </c>
      <c r="MO36" s="19">
        <f t="shared" si="271"/>
        <v>12943</v>
      </c>
      <c r="MP36" s="19">
        <f t="shared" si="271"/>
        <v>12938</v>
      </c>
      <c r="MQ36" s="19">
        <f t="shared" si="271"/>
        <v>12934</v>
      </c>
      <c r="MR36" s="19">
        <f t="shared" si="271"/>
        <v>12924</v>
      </c>
      <c r="MS36" s="19">
        <f t="shared" si="271"/>
        <v>12917</v>
      </c>
      <c r="MT36" s="19">
        <f t="shared" si="271"/>
        <v>12914</v>
      </c>
      <c r="MU36" s="19">
        <f t="shared" si="271"/>
        <v>12910</v>
      </c>
      <c r="MV36" s="19">
        <f t="shared" si="271"/>
        <v>12901</v>
      </c>
      <c r="MW36" s="19">
        <f t="shared" si="271"/>
        <v>12877</v>
      </c>
      <c r="MX36" s="19">
        <f t="shared" si="271"/>
        <v>12872</v>
      </c>
      <c r="MY36" s="19">
        <f t="shared" si="271"/>
        <v>12863</v>
      </c>
      <c r="MZ36" s="19">
        <f t="shared" si="271"/>
        <v>12852</v>
      </c>
      <c r="NA36" s="19">
        <f t="shared" si="271"/>
        <v>12834</v>
      </c>
      <c r="NB36" s="19">
        <f t="shared" si="271"/>
        <v>12803</v>
      </c>
      <c r="NC36" s="19">
        <f t="shared" ref="NC36:OG36" si="272">NC14-NC48</f>
        <v>12545</v>
      </c>
      <c r="ND36" s="19">
        <f t="shared" si="272"/>
        <v>12503</v>
      </c>
      <c r="NE36" s="19">
        <f t="shared" si="272"/>
        <v>12447</v>
      </c>
      <c r="NF36" s="19">
        <f t="shared" si="272"/>
        <v>12366</v>
      </c>
      <c r="NG36" s="19">
        <f t="shared" si="272"/>
        <v>12251</v>
      </c>
      <c r="NH36" s="19">
        <f t="shared" si="272"/>
        <v>12086</v>
      </c>
      <c r="NI36" s="19">
        <f t="shared" si="272"/>
        <v>11865</v>
      </c>
      <c r="NJ36" s="19">
        <f t="shared" si="272"/>
        <v>11598</v>
      </c>
      <c r="NK36" s="19">
        <f t="shared" si="272"/>
        <v>11287</v>
      </c>
      <c r="NL36" s="19">
        <f t="shared" si="272"/>
        <v>10910</v>
      </c>
      <c r="NM36" s="19">
        <f t="shared" si="272"/>
        <v>10540</v>
      </c>
      <c r="NN36" s="19">
        <f t="shared" si="272"/>
        <v>10098</v>
      </c>
      <c r="NO36" s="19">
        <f t="shared" si="272"/>
        <v>9593</v>
      </c>
      <c r="NP36" s="19">
        <f t="shared" si="272"/>
        <v>9049</v>
      </c>
      <c r="NQ36" s="19">
        <f t="shared" si="272"/>
        <v>8353</v>
      </c>
      <c r="NR36" s="19">
        <f t="shared" si="272"/>
        <v>7646</v>
      </c>
      <c r="NS36" s="19">
        <f t="shared" si="272"/>
        <v>6916</v>
      </c>
      <c r="NT36" s="19">
        <f t="shared" si="272"/>
        <v>6028</v>
      </c>
      <c r="NU36" s="19">
        <f t="shared" si="272"/>
        <v>5306</v>
      </c>
      <c r="NV36" s="19">
        <f t="shared" si="272"/>
        <v>4638</v>
      </c>
      <c r="NW36" s="19">
        <f t="shared" si="272"/>
        <v>3886</v>
      </c>
      <c r="NX36" s="19">
        <f t="shared" si="272"/>
        <v>3125</v>
      </c>
      <c r="NY36" s="19">
        <f t="shared" si="272"/>
        <v>2420</v>
      </c>
      <c r="NZ36" s="19">
        <f t="shared" si="272"/>
        <v>1801</v>
      </c>
      <c r="OA36" s="19">
        <f t="shared" si="272"/>
        <v>1321</v>
      </c>
      <c r="OB36" s="19">
        <f t="shared" si="272"/>
        <v>923</v>
      </c>
      <c r="OC36" s="19">
        <f t="shared" si="272"/>
        <v>558</v>
      </c>
      <c r="OD36" s="19">
        <f t="shared" si="272"/>
        <v>281</v>
      </c>
      <c r="OE36" s="19">
        <f t="shared" si="272"/>
        <v>127</v>
      </c>
      <c r="OF36" s="19">
        <f t="shared" si="272"/>
        <v>65</v>
      </c>
      <c r="OG36" s="19">
        <f t="shared" si="272"/>
        <v>21</v>
      </c>
    </row>
    <row r="37" spans="1:397">
      <c r="A37" s="13" t="s">
        <v>75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9">
        <f t="shared" ref="IE37:JJ37" si="273">IE13-IE50</f>
        <v>122</v>
      </c>
      <c r="IF37" s="19">
        <f t="shared" si="273"/>
        <v>122</v>
      </c>
      <c r="IG37" s="19">
        <f t="shared" si="273"/>
        <v>122</v>
      </c>
      <c r="IH37" s="19">
        <f t="shared" si="273"/>
        <v>122</v>
      </c>
      <c r="II37" s="19">
        <f t="shared" si="273"/>
        <v>122</v>
      </c>
      <c r="IJ37" s="19">
        <f t="shared" si="273"/>
        <v>122</v>
      </c>
      <c r="IK37" s="19">
        <f t="shared" si="273"/>
        <v>122</v>
      </c>
      <c r="IL37" s="19">
        <f t="shared" si="273"/>
        <v>122</v>
      </c>
      <c r="IM37" s="19">
        <f t="shared" si="273"/>
        <v>122</v>
      </c>
      <c r="IN37" s="19">
        <f t="shared" si="273"/>
        <v>122</v>
      </c>
      <c r="IO37" s="19">
        <f t="shared" si="273"/>
        <v>122</v>
      </c>
      <c r="IP37" s="19">
        <f t="shared" si="273"/>
        <v>122</v>
      </c>
      <c r="IQ37" s="19">
        <f t="shared" si="273"/>
        <v>122</v>
      </c>
      <c r="IR37" s="19">
        <f t="shared" si="273"/>
        <v>122</v>
      </c>
      <c r="IS37" s="19">
        <f t="shared" si="273"/>
        <v>122</v>
      </c>
      <c r="IT37" s="19">
        <f t="shared" si="273"/>
        <v>122</v>
      </c>
      <c r="IU37" s="19">
        <f t="shared" si="273"/>
        <v>122</v>
      </c>
      <c r="IV37" s="19">
        <f t="shared" si="273"/>
        <v>122</v>
      </c>
      <c r="IW37" s="19">
        <f t="shared" si="273"/>
        <v>122</v>
      </c>
      <c r="IX37" s="19">
        <f t="shared" si="273"/>
        <v>122</v>
      </c>
      <c r="IY37" s="19">
        <f t="shared" si="273"/>
        <v>122</v>
      </c>
      <c r="IZ37" s="19">
        <f t="shared" si="273"/>
        <v>122</v>
      </c>
      <c r="JA37" s="19">
        <f t="shared" si="273"/>
        <v>122</v>
      </c>
      <c r="JB37" s="19">
        <f t="shared" si="273"/>
        <v>122</v>
      </c>
      <c r="JC37" s="19">
        <f t="shared" si="273"/>
        <v>122</v>
      </c>
      <c r="JD37" s="19">
        <f t="shared" si="273"/>
        <v>122</v>
      </c>
      <c r="JE37" s="19">
        <f t="shared" si="273"/>
        <v>122</v>
      </c>
      <c r="JF37" s="19">
        <f t="shared" si="273"/>
        <v>122</v>
      </c>
      <c r="JG37" s="19">
        <f t="shared" si="273"/>
        <v>122</v>
      </c>
      <c r="JH37" s="19">
        <f t="shared" si="273"/>
        <v>122</v>
      </c>
      <c r="JI37" s="19">
        <f t="shared" si="273"/>
        <v>122</v>
      </c>
      <c r="JJ37" s="19">
        <f t="shared" si="273"/>
        <v>122</v>
      </c>
      <c r="JK37" s="19">
        <f t="shared" ref="JK37:KP37" si="274">JK13-JK50</f>
        <v>122</v>
      </c>
      <c r="JL37" s="19">
        <f t="shared" si="274"/>
        <v>122</v>
      </c>
      <c r="JM37" s="19">
        <f t="shared" si="274"/>
        <v>122</v>
      </c>
      <c r="JN37" s="19">
        <f t="shared" si="274"/>
        <v>122</v>
      </c>
      <c r="JO37" s="19">
        <f t="shared" si="274"/>
        <v>122</v>
      </c>
      <c r="JP37" s="19">
        <f t="shared" si="274"/>
        <v>122</v>
      </c>
      <c r="JQ37" s="19">
        <f t="shared" si="274"/>
        <v>122</v>
      </c>
      <c r="JR37" s="19">
        <f t="shared" si="274"/>
        <v>122</v>
      </c>
      <c r="JS37" s="19">
        <f t="shared" si="274"/>
        <v>122</v>
      </c>
      <c r="JT37" s="19">
        <f t="shared" si="274"/>
        <v>122</v>
      </c>
      <c r="JU37" s="19">
        <f t="shared" si="274"/>
        <v>121</v>
      </c>
      <c r="JV37" s="19">
        <f t="shared" si="274"/>
        <v>121</v>
      </c>
      <c r="JW37" s="19">
        <f t="shared" si="274"/>
        <v>121</v>
      </c>
      <c r="JX37" s="19">
        <f t="shared" si="274"/>
        <v>121</v>
      </c>
      <c r="JY37" s="19">
        <f t="shared" si="274"/>
        <v>121</v>
      </c>
      <c r="JZ37" s="19">
        <f t="shared" si="274"/>
        <v>121</v>
      </c>
      <c r="KA37" s="19">
        <f t="shared" si="274"/>
        <v>121</v>
      </c>
      <c r="KB37" s="19">
        <f t="shared" si="274"/>
        <v>121</v>
      </c>
      <c r="KC37" s="19">
        <f t="shared" si="274"/>
        <v>121</v>
      </c>
      <c r="KD37" s="19">
        <f t="shared" si="274"/>
        <v>121</v>
      </c>
      <c r="KE37" s="19">
        <f t="shared" si="274"/>
        <v>121</v>
      </c>
      <c r="KF37" s="19">
        <f t="shared" si="274"/>
        <v>121</v>
      </c>
      <c r="KG37" s="19">
        <f t="shared" si="274"/>
        <v>121</v>
      </c>
      <c r="KH37" s="19">
        <f t="shared" si="274"/>
        <v>121</v>
      </c>
      <c r="KI37" s="19">
        <f t="shared" si="274"/>
        <v>121</v>
      </c>
      <c r="KJ37" s="19">
        <f t="shared" si="274"/>
        <v>121</v>
      </c>
      <c r="KK37" s="19">
        <f t="shared" si="274"/>
        <v>121</v>
      </c>
      <c r="KL37" s="19">
        <f t="shared" si="274"/>
        <v>121</v>
      </c>
      <c r="KM37" s="19">
        <f t="shared" si="274"/>
        <v>121</v>
      </c>
      <c r="KN37" s="19">
        <f t="shared" si="274"/>
        <v>121</v>
      </c>
      <c r="KO37" s="19">
        <f t="shared" si="274"/>
        <v>120</v>
      </c>
      <c r="KP37" s="19">
        <f t="shared" si="274"/>
        <v>120</v>
      </c>
      <c r="KQ37" s="19">
        <f t="shared" ref="KQ37:LV37" si="275">KQ13-KQ50</f>
        <v>120</v>
      </c>
      <c r="KR37" s="19">
        <f t="shared" si="275"/>
        <v>120</v>
      </c>
      <c r="KS37" s="19">
        <f t="shared" si="275"/>
        <v>120</v>
      </c>
      <c r="KT37" s="19">
        <f t="shared" si="275"/>
        <v>120</v>
      </c>
      <c r="KU37" s="19">
        <f t="shared" si="275"/>
        <v>120</v>
      </c>
      <c r="KV37" s="19">
        <f t="shared" si="275"/>
        <v>120</v>
      </c>
      <c r="KW37" s="19">
        <f t="shared" si="275"/>
        <v>120</v>
      </c>
      <c r="KX37" s="19">
        <f t="shared" si="275"/>
        <v>120</v>
      </c>
      <c r="KY37" s="19">
        <f t="shared" si="275"/>
        <v>120</v>
      </c>
      <c r="KZ37" s="19">
        <f t="shared" si="275"/>
        <v>120</v>
      </c>
      <c r="LA37" s="19">
        <f t="shared" si="275"/>
        <v>120</v>
      </c>
      <c r="LB37" s="19">
        <f t="shared" si="275"/>
        <v>120</v>
      </c>
      <c r="LC37" s="19">
        <f t="shared" si="275"/>
        <v>120</v>
      </c>
      <c r="LD37" s="19">
        <f t="shared" si="275"/>
        <v>120</v>
      </c>
      <c r="LE37" s="19">
        <f t="shared" si="275"/>
        <v>120</v>
      </c>
      <c r="LF37" s="19">
        <f t="shared" si="275"/>
        <v>120</v>
      </c>
      <c r="LG37" s="19">
        <f t="shared" si="275"/>
        <v>120</v>
      </c>
      <c r="LH37" s="19">
        <f t="shared" si="275"/>
        <v>119</v>
      </c>
      <c r="LI37" s="19">
        <f t="shared" si="275"/>
        <v>119</v>
      </c>
      <c r="LJ37" s="19">
        <f t="shared" si="275"/>
        <v>119</v>
      </c>
      <c r="LK37" s="19">
        <f t="shared" si="275"/>
        <v>119</v>
      </c>
      <c r="LL37" s="19">
        <f t="shared" si="275"/>
        <v>119</v>
      </c>
      <c r="LM37" s="19">
        <f t="shared" si="275"/>
        <v>119</v>
      </c>
      <c r="LN37" s="19">
        <f t="shared" si="275"/>
        <v>119</v>
      </c>
      <c r="LO37" s="19">
        <f t="shared" si="275"/>
        <v>118</v>
      </c>
      <c r="LP37" s="19">
        <f t="shared" si="275"/>
        <v>118</v>
      </c>
      <c r="LQ37" s="19">
        <f t="shared" si="275"/>
        <v>118</v>
      </c>
      <c r="LR37" s="19">
        <f t="shared" si="275"/>
        <v>118</v>
      </c>
      <c r="LS37" s="19">
        <f t="shared" si="275"/>
        <v>118</v>
      </c>
      <c r="LT37" s="19">
        <f t="shared" si="275"/>
        <v>118</v>
      </c>
      <c r="LU37" s="19">
        <f t="shared" si="275"/>
        <v>118</v>
      </c>
      <c r="LV37" s="19">
        <f t="shared" si="275"/>
        <v>117</v>
      </c>
      <c r="LW37" s="19">
        <f t="shared" ref="LW37:NB37" si="276">LW13-LW50</f>
        <v>117</v>
      </c>
      <c r="LX37" s="19">
        <f t="shared" si="276"/>
        <v>117</v>
      </c>
      <c r="LY37" s="19">
        <f t="shared" si="276"/>
        <v>116</v>
      </c>
      <c r="LZ37" s="19">
        <f t="shared" si="276"/>
        <v>116</v>
      </c>
      <c r="MA37" s="19">
        <f t="shared" si="276"/>
        <v>115</v>
      </c>
      <c r="MB37" s="19">
        <f t="shared" si="276"/>
        <v>115</v>
      </c>
      <c r="MC37" s="19">
        <f t="shared" si="276"/>
        <v>115</v>
      </c>
      <c r="MD37" s="19">
        <f t="shared" si="276"/>
        <v>114</v>
      </c>
      <c r="ME37" s="19">
        <f t="shared" si="276"/>
        <v>114</v>
      </c>
      <c r="MF37" s="19">
        <f t="shared" si="276"/>
        <v>114</v>
      </c>
      <c r="MG37" s="19">
        <f t="shared" si="276"/>
        <v>114</v>
      </c>
      <c r="MH37" s="19">
        <f t="shared" si="276"/>
        <v>113</v>
      </c>
      <c r="MI37" s="19">
        <f t="shared" si="276"/>
        <v>112</v>
      </c>
      <c r="MJ37" s="19">
        <f t="shared" si="276"/>
        <v>112</v>
      </c>
      <c r="MK37" s="19">
        <f t="shared" si="276"/>
        <v>112</v>
      </c>
      <c r="ML37" s="19">
        <f t="shared" si="276"/>
        <v>111</v>
      </c>
      <c r="MM37" s="19">
        <f t="shared" si="276"/>
        <v>111</v>
      </c>
      <c r="MN37" s="19">
        <f t="shared" si="276"/>
        <v>111</v>
      </c>
      <c r="MO37" s="19">
        <f t="shared" si="276"/>
        <v>110</v>
      </c>
      <c r="MP37" s="19">
        <f t="shared" si="276"/>
        <v>110</v>
      </c>
      <c r="MQ37" s="19">
        <f t="shared" si="276"/>
        <v>109</v>
      </c>
      <c r="MR37" s="19">
        <f t="shared" si="276"/>
        <v>109</v>
      </c>
      <c r="MS37" s="19">
        <f t="shared" si="276"/>
        <v>109</v>
      </c>
      <c r="MT37" s="19">
        <f t="shared" si="276"/>
        <v>108</v>
      </c>
      <c r="MU37" s="19">
        <f t="shared" si="276"/>
        <v>106</v>
      </c>
      <c r="MV37" s="19">
        <f t="shared" si="276"/>
        <v>103</v>
      </c>
      <c r="MW37" s="19">
        <f t="shared" si="276"/>
        <v>100</v>
      </c>
      <c r="MX37" s="19">
        <f t="shared" si="276"/>
        <v>100</v>
      </c>
      <c r="MY37" s="19">
        <f t="shared" si="276"/>
        <v>97</v>
      </c>
      <c r="MZ37" s="19">
        <f t="shared" si="276"/>
        <v>96</v>
      </c>
      <c r="NA37" s="19">
        <f t="shared" si="276"/>
        <v>95</v>
      </c>
      <c r="NB37" s="19">
        <f t="shared" si="276"/>
        <v>92</v>
      </c>
      <c r="NC37" s="19">
        <f t="shared" ref="NC37:OG37" si="277">NC13-NC50</f>
        <v>89</v>
      </c>
      <c r="ND37" s="19">
        <f t="shared" si="277"/>
        <v>83</v>
      </c>
      <c r="NE37" s="19">
        <f t="shared" si="277"/>
        <v>79</v>
      </c>
      <c r="NF37" s="19">
        <f t="shared" si="277"/>
        <v>74</v>
      </c>
      <c r="NG37" s="19">
        <f t="shared" si="277"/>
        <v>69</v>
      </c>
      <c r="NH37" s="19">
        <f t="shared" si="277"/>
        <v>66</v>
      </c>
      <c r="NI37" s="19">
        <f t="shared" si="277"/>
        <v>62</v>
      </c>
      <c r="NJ37" s="19">
        <f t="shared" si="277"/>
        <v>57</v>
      </c>
      <c r="NK37" s="19">
        <f t="shared" si="277"/>
        <v>45</v>
      </c>
      <c r="NL37" s="19">
        <f t="shared" si="277"/>
        <v>42</v>
      </c>
      <c r="NM37" s="19">
        <f t="shared" si="277"/>
        <v>37</v>
      </c>
      <c r="NN37" s="19">
        <f t="shared" si="277"/>
        <v>31</v>
      </c>
      <c r="NO37" s="19">
        <f t="shared" si="277"/>
        <v>23</v>
      </c>
      <c r="NP37" s="19">
        <f t="shared" si="277"/>
        <v>18</v>
      </c>
      <c r="NQ37" s="19">
        <f t="shared" si="277"/>
        <v>14</v>
      </c>
      <c r="NR37" s="19">
        <f t="shared" si="277"/>
        <v>11</v>
      </c>
      <c r="NS37" s="19">
        <f t="shared" si="277"/>
        <v>11</v>
      </c>
      <c r="NT37" s="19">
        <f t="shared" si="277"/>
        <v>11</v>
      </c>
      <c r="NU37" s="19">
        <f t="shared" si="277"/>
        <v>10</v>
      </c>
      <c r="NV37" s="19">
        <f t="shared" si="277"/>
        <v>10</v>
      </c>
      <c r="NW37" s="19">
        <f t="shared" si="277"/>
        <v>9</v>
      </c>
      <c r="NX37" s="19">
        <f t="shared" si="277"/>
        <v>8</v>
      </c>
      <c r="NY37" s="19">
        <f t="shared" si="277"/>
        <v>7</v>
      </c>
      <c r="NZ37" s="19">
        <f t="shared" si="277"/>
        <v>6</v>
      </c>
      <c r="OA37" s="19">
        <f t="shared" si="277"/>
        <v>4</v>
      </c>
      <c r="OB37" s="19">
        <f t="shared" si="277"/>
        <v>4</v>
      </c>
      <c r="OC37" s="19">
        <f t="shared" si="277"/>
        <v>2</v>
      </c>
      <c r="OD37" s="19">
        <f t="shared" si="277"/>
        <v>1</v>
      </c>
      <c r="OE37" s="19">
        <f t="shared" si="277"/>
        <v>0</v>
      </c>
      <c r="OF37" s="19">
        <f t="shared" si="277"/>
        <v>-9</v>
      </c>
      <c r="OG37" s="19">
        <f t="shared" si="277"/>
        <v>-6</v>
      </c>
    </row>
    <row r="38" spans="1:397">
      <c r="A38" s="13" t="s">
        <v>76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9">
        <f t="shared" ref="IE38:JJ38" si="278">IE12-IE49</f>
        <v>14821</v>
      </c>
      <c r="IF38" s="19">
        <f t="shared" si="278"/>
        <v>14816</v>
      </c>
      <c r="IG38" s="19">
        <f t="shared" si="278"/>
        <v>14810</v>
      </c>
      <c r="IH38" s="19">
        <f t="shared" si="278"/>
        <v>14805</v>
      </c>
      <c r="II38" s="19">
        <f t="shared" si="278"/>
        <v>14802</v>
      </c>
      <c r="IJ38" s="19">
        <f t="shared" si="278"/>
        <v>14790</v>
      </c>
      <c r="IK38" s="19">
        <f t="shared" si="278"/>
        <v>14790</v>
      </c>
      <c r="IL38" s="19">
        <f t="shared" si="278"/>
        <v>14787</v>
      </c>
      <c r="IM38" s="19">
        <f t="shared" si="278"/>
        <v>14775</v>
      </c>
      <c r="IN38" s="19">
        <f t="shared" si="278"/>
        <v>14771</v>
      </c>
      <c r="IO38" s="19">
        <f t="shared" si="278"/>
        <v>14756</v>
      </c>
      <c r="IP38" s="19">
        <f t="shared" si="278"/>
        <v>14754</v>
      </c>
      <c r="IQ38" s="19">
        <f t="shared" si="278"/>
        <v>14747</v>
      </c>
      <c r="IR38" s="19">
        <f t="shared" si="278"/>
        <v>14746</v>
      </c>
      <c r="IS38" s="19">
        <f t="shared" si="278"/>
        <v>14744</v>
      </c>
      <c r="IT38" s="19">
        <f t="shared" si="278"/>
        <v>14742</v>
      </c>
      <c r="IU38" s="19">
        <f t="shared" si="278"/>
        <v>14738</v>
      </c>
      <c r="IV38" s="19">
        <f t="shared" si="278"/>
        <v>14734</v>
      </c>
      <c r="IW38" s="19">
        <f t="shared" si="278"/>
        <v>14728</v>
      </c>
      <c r="IX38" s="19">
        <f t="shared" si="278"/>
        <v>14718</v>
      </c>
      <c r="IY38" s="19">
        <f t="shared" si="278"/>
        <v>14709</v>
      </c>
      <c r="IZ38" s="19">
        <f t="shared" si="278"/>
        <v>14709</v>
      </c>
      <c r="JA38" s="19">
        <f t="shared" si="278"/>
        <v>14707</v>
      </c>
      <c r="JB38" s="19">
        <f t="shared" si="278"/>
        <v>14699</v>
      </c>
      <c r="JC38" s="19">
        <f t="shared" si="278"/>
        <v>14694</v>
      </c>
      <c r="JD38" s="19">
        <f t="shared" si="278"/>
        <v>14695</v>
      </c>
      <c r="JE38" s="19">
        <f t="shared" si="278"/>
        <v>14687</v>
      </c>
      <c r="JF38" s="19">
        <f t="shared" si="278"/>
        <v>14685</v>
      </c>
      <c r="JG38" s="19">
        <f t="shared" si="278"/>
        <v>14683</v>
      </c>
      <c r="JH38" s="19">
        <f t="shared" si="278"/>
        <v>14674</v>
      </c>
      <c r="JI38" s="19">
        <f t="shared" si="278"/>
        <v>14671</v>
      </c>
      <c r="JJ38" s="19">
        <f t="shared" si="278"/>
        <v>14663</v>
      </c>
      <c r="JK38" s="19">
        <f t="shared" ref="JK38:KP38" si="279">JK12-JK49</f>
        <v>14660</v>
      </c>
      <c r="JL38" s="19">
        <f t="shared" si="279"/>
        <v>14651</v>
      </c>
      <c r="JM38" s="19">
        <f t="shared" si="279"/>
        <v>14645</v>
      </c>
      <c r="JN38" s="19">
        <f t="shared" si="279"/>
        <v>14642</v>
      </c>
      <c r="JO38" s="19">
        <f t="shared" si="279"/>
        <v>14639</v>
      </c>
      <c r="JP38" s="19">
        <f t="shared" si="279"/>
        <v>14633</v>
      </c>
      <c r="JQ38" s="19">
        <f t="shared" si="279"/>
        <v>14628</v>
      </c>
      <c r="JR38" s="19">
        <f t="shared" si="279"/>
        <v>14625</v>
      </c>
      <c r="JS38" s="19">
        <f t="shared" si="279"/>
        <v>14622</v>
      </c>
      <c r="JT38" s="19">
        <f t="shared" si="279"/>
        <v>14611</v>
      </c>
      <c r="JU38" s="19">
        <f t="shared" si="279"/>
        <v>14603</v>
      </c>
      <c r="JV38" s="19">
        <f t="shared" si="279"/>
        <v>14593</v>
      </c>
      <c r="JW38" s="19">
        <f t="shared" si="279"/>
        <v>14579</v>
      </c>
      <c r="JX38" s="19">
        <f t="shared" si="279"/>
        <v>14573</v>
      </c>
      <c r="JY38" s="19">
        <f t="shared" si="279"/>
        <v>14555</v>
      </c>
      <c r="JZ38" s="19">
        <f t="shared" si="279"/>
        <v>14528</v>
      </c>
      <c r="KA38" s="19">
        <f t="shared" si="279"/>
        <v>14504</v>
      </c>
      <c r="KB38" s="19">
        <f t="shared" si="279"/>
        <v>14430</v>
      </c>
      <c r="KC38" s="19">
        <f t="shared" si="279"/>
        <v>14377</v>
      </c>
      <c r="KD38" s="19">
        <f t="shared" si="279"/>
        <v>14341</v>
      </c>
      <c r="KE38" s="19">
        <f t="shared" si="279"/>
        <v>14295</v>
      </c>
      <c r="KF38" s="19">
        <f t="shared" si="279"/>
        <v>14237</v>
      </c>
      <c r="KG38" s="19">
        <f t="shared" si="279"/>
        <v>14150</v>
      </c>
      <c r="KH38" s="19">
        <f t="shared" si="279"/>
        <v>14097</v>
      </c>
      <c r="KI38" s="19">
        <f t="shared" si="279"/>
        <v>14069</v>
      </c>
      <c r="KJ38" s="19">
        <f t="shared" si="279"/>
        <v>14026</v>
      </c>
      <c r="KK38" s="19">
        <f t="shared" si="279"/>
        <v>13994</v>
      </c>
      <c r="KL38" s="19">
        <f t="shared" si="279"/>
        <v>13962</v>
      </c>
      <c r="KM38" s="19">
        <f t="shared" si="279"/>
        <v>13939</v>
      </c>
      <c r="KN38" s="19">
        <f t="shared" si="279"/>
        <v>13858</v>
      </c>
      <c r="KO38" s="19">
        <f t="shared" si="279"/>
        <v>13790</v>
      </c>
      <c r="KP38" s="19">
        <f t="shared" si="279"/>
        <v>13753</v>
      </c>
      <c r="KQ38" s="19">
        <f t="shared" ref="KQ38:LV38" si="280">KQ12-KQ49</f>
        <v>13688</v>
      </c>
      <c r="KR38" s="19">
        <f t="shared" si="280"/>
        <v>13660</v>
      </c>
      <c r="KS38" s="19">
        <f t="shared" si="280"/>
        <v>13632</v>
      </c>
      <c r="KT38" s="19">
        <f t="shared" si="280"/>
        <v>13609</v>
      </c>
      <c r="KU38" s="19">
        <f t="shared" si="280"/>
        <v>13573</v>
      </c>
      <c r="KV38" s="19">
        <f t="shared" si="280"/>
        <v>13555</v>
      </c>
      <c r="KW38" s="19">
        <f t="shared" si="280"/>
        <v>13535</v>
      </c>
      <c r="KX38" s="19">
        <f t="shared" si="280"/>
        <v>13492</v>
      </c>
      <c r="KY38" s="19">
        <f t="shared" si="280"/>
        <v>13457</v>
      </c>
      <c r="KZ38" s="19">
        <f t="shared" si="280"/>
        <v>13414</v>
      </c>
      <c r="LA38" s="19">
        <f t="shared" si="280"/>
        <v>13375</v>
      </c>
      <c r="LB38" s="19">
        <f t="shared" si="280"/>
        <v>13325</v>
      </c>
      <c r="LC38" s="19">
        <f t="shared" si="280"/>
        <v>13294</v>
      </c>
      <c r="LD38" s="19">
        <f t="shared" si="280"/>
        <v>13261</v>
      </c>
      <c r="LE38" s="19">
        <f t="shared" si="280"/>
        <v>13219</v>
      </c>
      <c r="LF38" s="19">
        <f t="shared" si="280"/>
        <v>13183</v>
      </c>
      <c r="LG38" s="19">
        <f t="shared" si="280"/>
        <v>13137</v>
      </c>
      <c r="LH38" s="19">
        <f t="shared" si="280"/>
        <v>13094</v>
      </c>
      <c r="LI38" s="19">
        <f t="shared" si="280"/>
        <v>13064</v>
      </c>
      <c r="LJ38" s="19">
        <f t="shared" si="280"/>
        <v>13019</v>
      </c>
      <c r="LK38" s="19">
        <f t="shared" si="280"/>
        <v>12989</v>
      </c>
      <c r="LL38" s="19">
        <f t="shared" si="280"/>
        <v>12959</v>
      </c>
      <c r="LM38" s="19">
        <f t="shared" si="280"/>
        <v>12937</v>
      </c>
      <c r="LN38" s="19">
        <f t="shared" si="280"/>
        <v>12912</v>
      </c>
      <c r="LO38" s="19">
        <f t="shared" si="280"/>
        <v>12899</v>
      </c>
      <c r="LP38" s="19">
        <f t="shared" si="280"/>
        <v>12888</v>
      </c>
      <c r="LQ38" s="19">
        <f t="shared" si="280"/>
        <v>12883</v>
      </c>
      <c r="LR38" s="19">
        <f t="shared" si="280"/>
        <v>12873</v>
      </c>
      <c r="LS38" s="19">
        <f t="shared" si="280"/>
        <v>12857</v>
      </c>
      <c r="LT38" s="19">
        <f t="shared" si="280"/>
        <v>12850</v>
      </c>
      <c r="LU38" s="19">
        <f t="shared" si="280"/>
        <v>12840</v>
      </c>
      <c r="LV38" s="19">
        <f t="shared" si="280"/>
        <v>12836</v>
      </c>
      <c r="LW38" s="19">
        <f t="shared" ref="LW38:NB38" si="281">LW12-LW49</f>
        <v>12824</v>
      </c>
      <c r="LX38" s="19">
        <f t="shared" si="281"/>
        <v>12812</v>
      </c>
      <c r="LY38" s="19">
        <f t="shared" si="281"/>
        <v>12798</v>
      </c>
      <c r="LZ38" s="19">
        <f t="shared" si="281"/>
        <v>12769</v>
      </c>
      <c r="MA38" s="19">
        <f t="shared" si="281"/>
        <v>12742</v>
      </c>
      <c r="MB38" s="19">
        <f t="shared" si="281"/>
        <v>12718</v>
      </c>
      <c r="MC38" s="19">
        <f t="shared" si="281"/>
        <v>12692</v>
      </c>
      <c r="MD38" s="19">
        <f t="shared" si="281"/>
        <v>12655</v>
      </c>
      <c r="ME38" s="19">
        <f t="shared" si="281"/>
        <v>12633</v>
      </c>
      <c r="MF38" s="19">
        <f t="shared" si="281"/>
        <v>12598</v>
      </c>
      <c r="MG38" s="19">
        <f t="shared" si="281"/>
        <v>12558</v>
      </c>
      <c r="MH38" s="19">
        <f t="shared" si="281"/>
        <v>12495</v>
      </c>
      <c r="MI38" s="19">
        <f t="shared" si="281"/>
        <v>12419</v>
      </c>
      <c r="MJ38" s="19">
        <f t="shared" si="281"/>
        <v>12312</v>
      </c>
      <c r="MK38" s="19">
        <f t="shared" si="281"/>
        <v>12167</v>
      </c>
      <c r="ML38" s="19">
        <f t="shared" si="281"/>
        <v>12054</v>
      </c>
      <c r="MM38" s="19">
        <f t="shared" si="281"/>
        <v>11936</v>
      </c>
      <c r="MN38" s="19">
        <f t="shared" si="281"/>
        <v>11760</v>
      </c>
      <c r="MO38" s="19">
        <f t="shared" si="281"/>
        <v>11566</v>
      </c>
      <c r="MP38" s="19">
        <f t="shared" si="281"/>
        <v>11300</v>
      </c>
      <c r="MQ38" s="19">
        <f t="shared" si="281"/>
        <v>11037</v>
      </c>
      <c r="MR38" s="19">
        <f t="shared" si="281"/>
        <v>10705</v>
      </c>
      <c r="MS38" s="19">
        <f t="shared" si="281"/>
        <v>10438</v>
      </c>
      <c r="MT38" s="19">
        <f t="shared" si="281"/>
        <v>10107</v>
      </c>
      <c r="MU38" s="19">
        <f t="shared" si="281"/>
        <v>9714</v>
      </c>
      <c r="MV38" s="19">
        <f t="shared" si="281"/>
        <v>9295</v>
      </c>
      <c r="MW38" s="19">
        <f t="shared" si="281"/>
        <v>8833</v>
      </c>
      <c r="MX38" s="19">
        <f t="shared" si="281"/>
        <v>8469</v>
      </c>
      <c r="MY38" s="19">
        <f t="shared" si="281"/>
        <v>7996</v>
      </c>
      <c r="MZ38" s="19">
        <f t="shared" si="281"/>
        <v>7589</v>
      </c>
      <c r="NA38" s="19">
        <f t="shared" si="281"/>
        <v>7102</v>
      </c>
      <c r="NB38" s="19">
        <f t="shared" si="281"/>
        <v>6478</v>
      </c>
      <c r="NC38" s="19">
        <f t="shared" ref="NC38:OG38" si="282">NC12-NC49</f>
        <v>5820</v>
      </c>
      <c r="ND38" s="19">
        <f t="shared" si="282"/>
        <v>5248</v>
      </c>
      <c r="NE38" s="19">
        <f t="shared" si="282"/>
        <v>4690</v>
      </c>
      <c r="NF38" s="19">
        <f t="shared" si="282"/>
        <v>4205</v>
      </c>
      <c r="NG38" s="19">
        <f t="shared" si="282"/>
        <v>3796</v>
      </c>
      <c r="NH38" s="19">
        <f t="shared" si="282"/>
        <v>3322</v>
      </c>
      <c r="NI38" s="19">
        <f t="shared" si="282"/>
        <v>2861</v>
      </c>
      <c r="NJ38" s="19">
        <f t="shared" si="282"/>
        <v>2470</v>
      </c>
      <c r="NK38" s="19">
        <f t="shared" si="282"/>
        <v>2101</v>
      </c>
      <c r="NL38" s="19">
        <f t="shared" si="282"/>
        <v>1774</v>
      </c>
      <c r="NM38" s="19">
        <f t="shared" si="282"/>
        <v>1486</v>
      </c>
      <c r="NN38" s="19">
        <f t="shared" si="282"/>
        <v>1210</v>
      </c>
      <c r="NO38" s="19">
        <f t="shared" si="282"/>
        <v>935</v>
      </c>
      <c r="NP38" s="19">
        <f t="shared" si="282"/>
        <v>723</v>
      </c>
      <c r="NQ38" s="19">
        <f t="shared" si="282"/>
        <v>520</v>
      </c>
      <c r="NR38" s="19">
        <f t="shared" si="282"/>
        <v>372</v>
      </c>
      <c r="NS38" s="19">
        <f t="shared" si="282"/>
        <v>236</v>
      </c>
      <c r="NT38" s="19">
        <f t="shared" si="282"/>
        <v>180</v>
      </c>
      <c r="NU38" s="19">
        <f t="shared" si="282"/>
        <v>113</v>
      </c>
      <c r="NV38" s="19">
        <f t="shared" si="282"/>
        <v>77</v>
      </c>
      <c r="NW38" s="19">
        <f t="shared" si="282"/>
        <v>55</v>
      </c>
      <c r="NX38" s="19">
        <f t="shared" si="282"/>
        <v>34</v>
      </c>
      <c r="NY38" s="19">
        <f t="shared" si="282"/>
        <v>23</v>
      </c>
      <c r="NZ38" s="19">
        <f t="shared" si="282"/>
        <v>13</v>
      </c>
      <c r="OA38" s="19">
        <f t="shared" si="282"/>
        <v>7</v>
      </c>
      <c r="OB38" s="19">
        <f t="shared" si="282"/>
        <v>7</v>
      </c>
      <c r="OC38" s="19">
        <f t="shared" si="282"/>
        <v>6</v>
      </c>
      <c r="OD38" s="19">
        <f t="shared" si="282"/>
        <v>3</v>
      </c>
      <c r="OE38" s="19">
        <f t="shared" si="282"/>
        <v>-28</v>
      </c>
      <c r="OF38" s="19">
        <f t="shared" si="282"/>
        <v>-28</v>
      </c>
      <c r="OG38" s="19">
        <f t="shared" si="282"/>
        <v>-25</v>
      </c>
    </row>
    <row r="39" spans="1:397">
      <c r="A39" s="13" t="s">
        <v>78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9">
        <f t="shared" ref="IE39:JJ39" si="283">IE10-IE52-IE53</f>
        <v>8</v>
      </c>
      <c r="IF39" s="19">
        <f t="shared" si="283"/>
        <v>8</v>
      </c>
      <c r="IG39" s="19">
        <f t="shared" si="283"/>
        <v>15</v>
      </c>
      <c r="IH39" s="19">
        <f t="shared" si="283"/>
        <v>12</v>
      </c>
      <c r="II39" s="19">
        <f t="shared" si="283"/>
        <v>13</v>
      </c>
      <c r="IJ39" s="19">
        <f t="shared" si="283"/>
        <v>12</v>
      </c>
      <c r="IK39" s="19">
        <f t="shared" si="283"/>
        <v>15</v>
      </c>
      <c r="IL39" s="19">
        <f t="shared" si="283"/>
        <v>13</v>
      </c>
      <c r="IM39" s="19">
        <f t="shared" si="283"/>
        <v>13</v>
      </c>
      <c r="IN39" s="19">
        <f t="shared" si="283"/>
        <v>9</v>
      </c>
      <c r="IO39" s="19">
        <f t="shared" si="283"/>
        <v>7</v>
      </c>
      <c r="IP39" s="19">
        <f t="shared" si="283"/>
        <v>5</v>
      </c>
      <c r="IQ39" s="19">
        <f t="shared" si="283"/>
        <v>2</v>
      </c>
      <c r="IR39" s="19">
        <f t="shared" si="283"/>
        <v>1</v>
      </c>
      <c r="IS39" s="19">
        <f t="shared" si="283"/>
        <v>0</v>
      </c>
      <c r="IT39" s="19">
        <f t="shared" si="283"/>
        <v>0</v>
      </c>
      <c r="IU39" s="19">
        <f t="shared" si="283"/>
        <v>0</v>
      </c>
      <c r="IV39" s="19">
        <f t="shared" si="283"/>
        <v>0</v>
      </c>
      <c r="IW39" s="19">
        <f t="shared" si="283"/>
        <v>0</v>
      </c>
      <c r="IX39" s="19">
        <f t="shared" si="283"/>
        <v>0</v>
      </c>
      <c r="IY39" s="19">
        <f t="shared" si="283"/>
        <v>0</v>
      </c>
      <c r="IZ39" s="19">
        <f t="shared" si="283"/>
        <v>1</v>
      </c>
      <c r="JA39" s="19">
        <f t="shared" si="283"/>
        <v>1</v>
      </c>
      <c r="JB39" s="19">
        <f t="shared" si="283"/>
        <v>1</v>
      </c>
      <c r="JC39" s="19">
        <f t="shared" si="283"/>
        <v>1</v>
      </c>
      <c r="JD39" s="19">
        <f t="shared" si="283"/>
        <v>2</v>
      </c>
      <c r="JE39" s="19">
        <f t="shared" si="283"/>
        <v>2</v>
      </c>
      <c r="JF39" s="19">
        <f t="shared" si="283"/>
        <v>2</v>
      </c>
      <c r="JG39" s="19">
        <f t="shared" si="283"/>
        <v>2</v>
      </c>
      <c r="JH39" s="19">
        <f t="shared" si="283"/>
        <v>2</v>
      </c>
      <c r="JI39" s="19">
        <f t="shared" si="283"/>
        <v>2</v>
      </c>
      <c r="JJ39" s="19">
        <f t="shared" si="283"/>
        <v>3</v>
      </c>
      <c r="JK39" s="19">
        <f t="shared" ref="JK39:KP39" si="284">JK10-JK52-JK53</f>
        <v>5</v>
      </c>
      <c r="JL39" s="19">
        <f t="shared" si="284"/>
        <v>5</v>
      </c>
      <c r="JM39" s="19">
        <f t="shared" si="284"/>
        <v>6</v>
      </c>
      <c r="JN39" s="19">
        <f t="shared" si="284"/>
        <v>7</v>
      </c>
      <c r="JO39" s="19">
        <f t="shared" si="284"/>
        <v>6</v>
      </c>
      <c r="JP39" s="19">
        <f t="shared" si="284"/>
        <v>6</v>
      </c>
      <c r="JQ39" s="19">
        <f t="shared" si="284"/>
        <v>7</v>
      </c>
      <c r="JR39" s="19">
        <f t="shared" si="284"/>
        <v>8</v>
      </c>
      <c r="JS39" s="19">
        <f t="shared" si="284"/>
        <v>6</v>
      </c>
      <c r="JT39" s="19">
        <f t="shared" si="284"/>
        <v>8</v>
      </c>
      <c r="JU39" s="19">
        <f t="shared" si="284"/>
        <v>9</v>
      </c>
      <c r="JV39" s="19">
        <f t="shared" si="284"/>
        <v>9</v>
      </c>
      <c r="JW39" s="19">
        <f t="shared" si="284"/>
        <v>7</v>
      </c>
      <c r="JX39" s="19">
        <f t="shared" si="284"/>
        <v>8</v>
      </c>
      <c r="JY39" s="19">
        <f t="shared" si="284"/>
        <v>8</v>
      </c>
      <c r="JZ39" s="19">
        <f t="shared" si="284"/>
        <v>8</v>
      </c>
      <c r="KA39" s="19">
        <f t="shared" si="284"/>
        <v>13</v>
      </c>
      <c r="KB39" s="19">
        <f t="shared" si="284"/>
        <v>15</v>
      </c>
      <c r="KC39" s="19">
        <f t="shared" si="284"/>
        <v>18</v>
      </c>
      <c r="KD39" s="19">
        <f t="shared" si="284"/>
        <v>23</v>
      </c>
      <c r="KE39" s="19">
        <f t="shared" si="284"/>
        <v>26</v>
      </c>
      <c r="KF39" s="19">
        <f t="shared" si="284"/>
        <v>29</v>
      </c>
      <c r="KG39" s="19">
        <f t="shared" si="284"/>
        <v>33</v>
      </c>
      <c r="KH39" s="19">
        <f t="shared" si="284"/>
        <v>34</v>
      </c>
      <c r="KI39" s="19">
        <f t="shared" si="284"/>
        <v>37</v>
      </c>
      <c r="KJ39" s="19">
        <f t="shared" si="284"/>
        <v>38</v>
      </c>
      <c r="KK39" s="19">
        <f t="shared" si="284"/>
        <v>41</v>
      </c>
      <c r="KL39" s="19">
        <f t="shared" si="284"/>
        <v>50</v>
      </c>
      <c r="KM39" s="19">
        <f t="shared" si="284"/>
        <v>50</v>
      </c>
      <c r="KN39" s="19">
        <f t="shared" si="284"/>
        <v>52</v>
      </c>
      <c r="KO39" s="19">
        <f t="shared" si="284"/>
        <v>51</v>
      </c>
      <c r="KP39" s="19">
        <f t="shared" si="284"/>
        <v>49</v>
      </c>
      <c r="KQ39" s="19">
        <f t="shared" ref="KQ39:LV39" si="285">KQ10-KQ52-KQ53</f>
        <v>56</v>
      </c>
      <c r="KR39" s="19">
        <f t="shared" si="285"/>
        <v>61</v>
      </c>
      <c r="KS39" s="19">
        <f t="shared" si="285"/>
        <v>63</v>
      </c>
      <c r="KT39" s="19">
        <f t="shared" si="285"/>
        <v>63</v>
      </c>
      <c r="KU39" s="19">
        <f t="shared" si="285"/>
        <v>61</v>
      </c>
      <c r="KV39" s="19">
        <f t="shared" si="285"/>
        <v>63</v>
      </c>
      <c r="KW39" s="19">
        <f t="shared" si="285"/>
        <v>58</v>
      </c>
      <c r="KX39" s="19">
        <f t="shared" si="285"/>
        <v>57</v>
      </c>
      <c r="KY39" s="19">
        <f t="shared" si="285"/>
        <v>57</v>
      </c>
      <c r="KZ39" s="19">
        <f t="shared" si="285"/>
        <v>56</v>
      </c>
      <c r="LA39" s="19">
        <f t="shared" si="285"/>
        <v>47</v>
      </c>
      <c r="LB39" s="19">
        <f t="shared" si="285"/>
        <v>46</v>
      </c>
      <c r="LC39" s="19">
        <f t="shared" si="285"/>
        <v>46</v>
      </c>
      <c r="LD39" s="19">
        <f t="shared" si="285"/>
        <v>46</v>
      </c>
      <c r="LE39" s="19">
        <f t="shared" si="285"/>
        <v>41</v>
      </c>
      <c r="LF39" s="19">
        <f t="shared" si="285"/>
        <v>39</v>
      </c>
      <c r="LG39" s="19">
        <f t="shared" si="285"/>
        <v>31</v>
      </c>
      <c r="LH39" s="19">
        <f t="shared" si="285"/>
        <v>27</v>
      </c>
      <c r="LI39" s="19">
        <f t="shared" si="285"/>
        <v>31</v>
      </c>
      <c r="LJ39" s="19">
        <f t="shared" si="285"/>
        <v>28</v>
      </c>
      <c r="LK39" s="19">
        <f t="shared" si="285"/>
        <v>28</v>
      </c>
      <c r="LL39" s="19">
        <f t="shared" si="285"/>
        <v>30</v>
      </c>
      <c r="LM39" s="19">
        <f t="shared" si="285"/>
        <v>29</v>
      </c>
      <c r="LN39" s="19">
        <f t="shared" si="285"/>
        <v>31</v>
      </c>
      <c r="LO39" s="19">
        <f t="shared" si="285"/>
        <v>31</v>
      </c>
      <c r="LP39" s="19">
        <f t="shared" si="285"/>
        <v>32</v>
      </c>
      <c r="LQ39" s="19">
        <f t="shared" si="285"/>
        <v>32</v>
      </c>
      <c r="LR39" s="19">
        <f t="shared" si="285"/>
        <v>35</v>
      </c>
      <c r="LS39" s="19">
        <f t="shared" si="285"/>
        <v>35</v>
      </c>
      <c r="LT39" s="19">
        <f t="shared" si="285"/>
        <v>34</v>
      </c>
      <c r="LU39" s="19">
        <f t="shared" si="285"/>
        <v>31</v>
      </c>
      <c r="LV39" s="19">
        <f t="shared" si="285"/>
        <v>34</v>
      </c>
      <c r="LW39" s="19">
        <f t="shared" ref="LW39:NB39" si="286">LW10-LW52-LW53</f>
        <v>35</v>
      </c>
      <c r="LX39" s="19">
        <f t="shared" si="286"/>
        <v>33</v>
      </c>
      <c r="LY39" s="19">
        <f t="shared" si="286"/>
        <v>36</v>
      </c>
      <c r="LZ39" s="19">
        <f t="shared" si="286"/>
        <v>38</v>
      </c>
      <c r="MA39" s="19">
        <f t="shared" si="286"/>
        <v>40</v>
      </c>
      <c r="MB39" s="19">
        <f t="shared" si="286"/>
        <v>42</v>
      </c>
      <c r="MC39" s="19">
        <f t="shared" si="286"/>
        <v>48</v>
      </c>
      <c r="MD39" s="19">
        <f t="shared" si="286"/>
        <v>57</v>
      </c>
      <c r="ME39" s="19">
        <f t="shared" si="286"/>
        <v>63</v>
      </c>
      <c r="MF39" s="19">
        <f t="shared" si="286"/>
        <v>67</v>
      </c>
      <c r="MG39" s="19">
        <f t="shared" si="286"/>
        <v>72</v>
      </c>
      <c r="MH39" s="19">
        <f t="shared" si="286"/>
        <v>77</v>
      </c>
      <c r="MI39" s="19">
        <f t="shared" si="286"/>
        <v>80</v>
      </c>
      <c r="MJ39" s="19">
        <f t="shared" si="286"/>
        <v>93</v>
      </c>
      <c r="MK39" s="19">
        <f t="shared" si="286"/>
        <v>120</v>
      </c>
      <c r="ML39" s="19">
        <f t="shared" si="286"/>
        <v>124</v>
      </c>
      <c r="MM39" s="19">
        <f t="shared" si="286"/>
        <v>130</v>
      </c>
      <c r="MN39" s="19">
        <f t="shared" si="286"/>
        <v>149</v>
      </c>
      <c r="MO39" s="19">
        <f t="shared" si="286"/>
        <v>164</v>
      </c>
      <c r="MP39" s="19">
        <f t="shared" si="286"/>
        <v>184</v>
      </c>
      <c r="MQ39" s="19">
        <f t="shared" si="286"/>
        <v>213</v>
      </c>
      <c r="MR39" s="19">
        <f t="shared" si="286"/>
        <v>238</v>
      </c>
      <c r="MS39" s="19">
        <f t="shared" si="286"/>
        <v>258</v>
      </c>
      <c r="MT39" s="19">
        <f t="shared" si="286"/>
        <v>294</v>
      </c>
      <c r="MU39" s="19">
        <f t="shared" si="286"/>
        <v>319</v>
      </c>
      <c r="MV39" s="19">
        <f t="shared" si="286"/>
        <v>362</v>
      </c>
      <c r="MW39" s="19">
        <f t="shared" si="286"/>
        <v>426</v>
      </c>
      <c r="MX39" s="19">
        <f t="shared" si="286"/>
        <v>451</v>
      </c>
      <c r="MY39" s="19">
        <f t="shared" si="286"/>
        <v>485</v>
      </c>
      <c r="MZ39" s="19">
        <f t="shared" si="286"/>
        <v>540</v>
      </c>
      <c r="NA39" s="19">
        <f t="shared" si="286"/>
        <v>585</v>
      </c>
      <c r="NB39" s="19">
        <f t="shared" si="286"/>
        <v>636</v>
      </c>
      <c r="NC39" s="19">
        <f t="shared" ref="NC39:OG39" si="287">NC10-NC52-NC53</f>
        <v>686</v>
      </c>
      <c r="ND39" s="19">
        <f t="shared" si="287"/>
        <v>731</v>
      </c>
      <c r="NE39" s="19">
        <f t="shared" si="287"/>
        <v>771</v>
      </c>
      <c r="NF39" s="19">
        <f t="shared" si="287"/>
        <v>847</v>
      </c>
      <c r="NG39" s="19">
        <f t="shared" si="287"/>
        <v>876</v>
      </c>
      <c r="NH39" s="19">
        <f t="shared" si="287"/>
        <v>901</v>
      </c>
      <c r="NI39" s="19">
        <f t="shared" si="287"/>
        <v>926</v>
      </c>
      <c r="NJ39" s="19">
        <f t="shared" si="287"/>
        <v>946</v>
      </c>
      <c r="NK39" s="19">
        <f t="shared" si="287"/>
        <v>963</v>
      </c>
      <c r="NL39" s="19">
        <f t="shared" si="287"/>
        <v>989</v>
      </c>
      <c r="NM39" s="19">
        <f t="shared" si="287"/>
        <v>979</v>
      </c>
      <c r="NN39" s="19">
        <f t="shared" si="287"/>
        <v>941</v>
      </c>
      <c r="NO39" s="19">
        <f t="shared" si="287"/>
        <v>906</v>
      </c>
      <c r="NP39" s="19">
        <f t="shared" si="287"/>
        <v>819</v>
      </c>
      <c r="NQ39" s="19">
        <f t="shared" si="287"/>
        <v>775</v>
      </c>
      <c r="NR39" s="19">
        <f t="shared" si="287"/>
        <v>699</v>
      </c>
      <c r="NS39" s="19">
        <f t="shared" si="287"/>
        <v>645</v>
      </c>
      <c r="NT39" s="19">
        <f t="shared" si="287"/>
        <v>595</v>
      </c>
      <c r="NU39" s="19">
        <f t="shared" si="287"/>
        <v>548</v>
      </c>
      <c r="NV39" s="19">
        <f t="shared" si="287"/>
        <v>501</v>
      </c>
      <c r="NW39" s="19">
        <f t="shared" si="287"/>
        <v>433</v>
      </c>
      <c r="NX39" s="19">
        <f t="shared" si="287"/>
        <v>382</v>
      </c>
      <c r="NY39" s="19">
        <f t="shared" si="287"/>
        <v>340</v>
      </c>
      <c r="NZ39" s="19">
        <f t="shared" si="287"/>
        <v>286</v>
      </c>
      <c r="OA39" s="19">
        <f t="shared" si="287"/>
        <v>171</v>
      </c>
      <c r="OB39" s="19">
        <f t="shared" si="287"/>
        <v>195</v>
      </c>
      <c r="OC39" s="19">
        <f t="shared" si="287"/>
        <v>80</v>
      </c>
      <c r="OD39" s="19">
        <f t="shared" si="287"/>
        <v>48</v>
      </c>
      <c r="OE39" s="19">
        <f t="shared" si="287"/>
        <v>0</v>
      </c>
      <c r="OF39" s="19">
        <f t="shared" si="287"/>
        <v>-88</v>
      </c>
      <c r="OG39" s="19">
        <f t="shared" si="287"/>
        <v>-63</v>
      </c>
    </row>
    <row r="40" spans="1:397">
      <c r="A40" s="13" t="s">
        <v>57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6">
        <f t="shared" ref="IE40" si="288">(IE38)/(IE36)</f>
        <v>0.96566327860307533</v>
      </c>
      <c r="IF40" s="16">
        <f t="shared" ref="IF40:IG40" si="289">(IF38)/(IF36)</f>
        <v>0.96666014223266128</v>
      </c>
      <c r="IG40" s="16">
        <f t="shared" si="289"/>
        <v>0.96708893822645947</v>
      </c>
      <c r="IH40" s="16">
        <f t="shared" ref="IH40" si="290">(IH38)/(IH36)</f>
        <v>0.96796338672768878</v>
      </c>
      <c r="II40" s="16">
        <f t="shared" ref="II40" si="291">(II38)/(II36)</f>
        <v>0.96852712163842181</v>
      </c>
      <c r="IJ40" s="16">
        <f t="shared" ref="IJ40:IK40" si="292">(IJ38)/(IJ36)</f>
        <v>0.96913701592294088</v>
      </c>
      <c r="IK40" s="16">
        <f t="shared" si="292"/>
        <v>0.97028144066128719</v>
      </c>
      <c r="IL40" s="16">
        <f t="shared" ref="IL40" si="293">(IL38)/(IL36)</f>
        <v>0.97174213051192748</v>
      </c>
      <c r="IM40" s="16">
        <f t="shared" ref="IM40:IN40" si="294">(IM38)/(IM36)</f>
        <v>0.97267939433838047</v>
      </c>
      <c r="IN40" s="16">
        <f t="shared" si="294"/>
        <v>0.97446892729911594</v>
      </c>
      <c r="IO40" s="16">
        <f t="shared" ref="IO40" si="295">(IO38)/(IO36)</f>
        <v>0.97528089887640446</v>
      </c>
      <c r="IP40" s="16">
        <f t="shared" ref="IP40:IQ40" si="296">(IP38)/(IP36)</f>
        <v>0.97799284104467721</v>
      </c>
      <c r="IQ40" s="16">
        <f t="shared" si="296"/>
        <v>0.9801276086667553</v>
      </c>
      <c r="IR40" s="16">
        <f t="shared" ref="IR40" si="297">(IR38)/(IR36)</f>
        <v>0.98326331933053279</v>
      </c>
      <c r="IS40" s="16">
        <f t="shared" ref="IS40:IT40" si="298">(IS38)/(IS36)</f>
        <v>0.98688085676037485</v>
      </c>
      <c r="IT40" s="16">
        <f t="shared" si="298"/>
        <v>0.98747404380735482</v>
      </c>
      <c r="IU40" s="16">
        <f t="shared" ref="IU40:IV40" si="299">(IU38)/(IU36)</f>
        <v>0.9876692132421927</v>
      </c>
      <c r="IV40" s="16">
        <f t="shared" si="299"/>
        <v>0.98812956877473002</v>
      </c>
      <c r="IW40" s="16">
        <f t="shared" ref="IW40" si="300">(IW38)/(IW36)</f>
        <v>0.98792594580091231</v>
      </c>
      <c r="IX40" s="16">
        <f t="shared" ref="IX40" si="301">(IX38)/(IX36)</f>
        <v>0.98745387453874534</v>
      </c>
      <c r="IY40" s="16">
        <f t="shared" ref="IY40:IZ40" si="302">(IY38)/(IY36)</f>
        <v>0.98711495872760213</v>
      </c>
      <c r="IZ40" s="16">
        <f t="shared" si="302"/>
        <v>0.98751258811681775</v>
      </c>
      <c r="JA40" s="16">
        <f t="shared" ref="JA40" si="303">(JA38)/(JA36)</f>
        <v>0.9875772226698899</v>
      </c>
      <c r="JB40" s="16">
        <f t="shared" ref="JB40:JC40" si="304">(JB38)/(JB36)</f>
        <v>0.98737153220931018</v>
      </c>
      <c r="JC40" s="16">
        <f t="shared" si="304"/>
        <v>0.98710197501007657</v>
      </c>
      <c r="JD40" s="16">
        <f t="shared" ref="JD40:JE40" si="305">(JD38)/(JD36)</f>
        <v>0.98710284140525295</v>
      </c>
      <c r="JE40" s="16">
        <f t="shared" si="305"/>
        <v>0.98689692245665905</v>
      </c>
      <c r="JF40" s="16">
        <f t="shared" ref="JF40" si="306">(JF38)/(JF36)</f>
        <v>0.98782456612404146</v>
      </c>
      <c r="JG40" s="16">
        <f t="shared" ref="JG40" si="307">(JG38)/(JG36)</f>
        <v>0.98782292787944026</v>
      </c>
      <c r="JH40" s="16">
        <f t="shared" ref="JH40:JI40" si="308">(JH38)/(JH36)</f>
        <v>0.98748317631224769</v>
      </c>
      <c r="JI40" s="16">
        <f t="shared" si="308"/>
        <v>0.98728129205921933</v>
      </c>
      <c r="JJ40" s="16">
        <f t="shared" ref="JJ40:JK40" si="309">(JJ38)/(JJ36)</f>
        <v>0.98687575716785569</v>
      </c>
      <c r="JK40" s="16">
        <f t="shared" si="309"/>
        <v>0.98674025711785696</v>
      </c>
      <c r="JL40" s="16">
        <f t="shared" ref="JL40:JM40" si="310">(JL38)/(JL36)</f>
        <v>0.98659932659932659</v>
      </c>
      <c r="JM40" s="16">
        <f t="shared" si="310"/>
        <v>0.98692634274546798</v>
      </c>
      <c r="JN40" s="16">
        <f t="shared" ref="JN40:JR40" si="311">(JN38)/(JN36)</f>
        <v>0.98692369911027233</v>
      </c>
      <c r="JO40" s="16">
        <f t="shared" si="311"/>
        <v>0.98672148827177142</v>
      </c>
      <c r="JP40" s="16">
        <f t="shared" si="311"/>
        <v>0.98658306364617043</v>
      </c>
      <c r="JQ40" s="16">
        <f t="shared" si="311"/>
        <v>0.98637896156439653</v>
      </c>
      <c r="JR40" s="16">
        <f t="shared" si="311"/>
        <v>0.98650927487352447</v>
      </c>
      <c r="JS40" s="16">
        <f t="shared" ref="JS40:MN40" si="312">(JS38)/(JS36)</f>
        <v>0.98663967611336034</v>
      </c>
      <c r="JT40" s="16">
        <f t="shared" si="312"/>
        <v>0.98636332950786476</v>
      </c>
      <c r="JU40" s="16">
        <f t="shared" si="312"/>
        <v>0.98622273249138925</v>
      </c>
      <c r="JV40" s="16">
        <f t="shared" si="312"/>
        <v>0.98608014055003712</v>
      </c>
      <c r="JW40" s="16">
        <f t="shared" si="312"/>
        <v>0.98540047313281509</v>
      </c>
      <c r="JX40" s="16">
        <f t="shared" si="312"/>
        <v>0.9851946998377501</v>
      </c>
      <c r="JY40" s="16">
        <f t="shared" si="312"/>
        <v>0.98444369293202572</v>
      </c>
      <c r="JZ40" s="16">
        <f t="shared" si="312"/>
        <v>0.98268398268398272</v>
      </c>
      <c r="KA40" s="16">
        <f t="shared" si="312"/>
        <v>0.98185756837259686</v>
      </c>
      <c r="KB40" s="16">
        <f t="shared" si="312"/>
        <v>0.97770851683718407</v>
      </c>
      <c r="KC40" s="16">
        <f t="shared" si="312"/>
        <v>0.97418349369833313</v>
      </c>
      <c r="KD40" s="16">
        <f t="shared" si="312"/>
        <v>0.97180998848004341</v>
      </c>
      <c r="KE40" s="16">
        <f t="shared" si="312"/>
        <v>0.9688241274144358</v>
      </c>
      <c r="KF40" s="16">
        <f t="shared" si="312"/>
        <v>0.96502406290246057</v>
      </c>
      <c r="KG40" s="16">
        <f t="shared" si="312"/>
        <v>0.95919197396963118</v>
      </c>
      <c r="KH40" s="16">
        <f t="shared" si="312"/>
        <v>0.95579361312631361</v>
      </c>
      <c r="KI40" s="16">
        <f t="shared" si="312"/>
        <v>0.95402454736556586</v>
      </c>
      <c r="KJ40" s="16">
        <f t="shared" si="312"/>
        <v>0.95117319951173196</v>
      </c>
      <c r="KK40" s="16">
        <f t="shared" si="312"/>
        <v>0.94977602823401652</v>
      </c>
      <c r="KL40" s="16">
        <f t="shared" si="312"/>
        <v>0.94786150712830952</v>
      </c>
      <c r="KM40" s="16">
        <f t="shared" si="312"/>
        <v>0.94771552896382916</v>
      </c>
      <c r="KN40" s="16">
        <f t="shared" si="312"/>
        <v>0.94259284451095093</v>
      </c>
      <c r="KO40" s="16">
        <f t="shared" si="312"/>
        <v>0.93815905843934966</v>
      </c>
      <c r="KP40" s="16">
        <f t="shared" si="312"/>
        <v>0.93634259259259256</v>
      </c>
      <c r="KQ40" s="16">
        <f t="shared" si="312"/>
        <v>0.93267920414281824</v>
      </c>
      <c r="KR40" s="16">
        <f t="shared" si="312"/>
        <v>0.93115201090661215</v>
      </c>
      <c r="KS40" s="16">
        <f t="shared" si="312"/>
        <v>0.92987721691678038</v>
      </c>
      <c r="KT40" s="16">
        <f t="shared" si="312"/>
        <v>0.93021189336978816</v>
      </c>
      <c r="KU40" s="16">
        <f t="shared" si="312"/>
        <v>0.92844927833641155</v>
      </c>
      <c r="KV40" s="16">
        <f t="shared" si="312"/>
        <v>0.92797973574313686</v>
      </c>
      <c r="KW40" s="16">
        <f t="shared" si="312"/>
        <v>0.9276266191487903</v>
      </c>
      <c r="KX40" s="16">
        <f t="shared" si="312"/>
        <v>0.92639384784399892</v>
      </c>
      <c r="KY40" s="16">
        <f t="shared" si="312"/>
        <v>0.9256431421103315</v>
      </c>
      <c r="KZ40" s="16">
        <f t="shared" si="312"/>
        <v>0.92561413193486064</v>
      </c>
      <c r="LA40" s="16">
        <f t="shared" si="312"/>
        <v>0.92586183026443303</v>
      </c>
      <c r="LB40" s="16">
        <f t="shared" si="312"/>
        <v>0.92811868774813677</v>
      </c>
      <c r="LC40" s="16">
        <f t="shared" si="312"/>
        <v>0.93297775282475959</v>
      </c>
      <c r="LD40" s="16">
        <f t="shared" si="312"/>
        <v>0.93717314487632508</v>
      </c>
      <c r="LE40" s="16">
        <f t="shared" si="312"/>
        <v>0.93725184344866708</v>
      </c>
      <c r="LF40" s="16">
        <f t="shared" si="312"/>
        <v>0.93749111079505054</v>
      </c>
      <c r="LG40" s="16">
        <f t="shared" si="312"/>
        <v>0.93842417315522542</v>
      </c>
      <c r="LH40" s="16">
        <f t="shared" si="312"/>
        <v>0.93951352514888431</v>
      </c>
      <c r="LI40" s="16">
        <f t="shared" si="312"/>
        <v>0.93951815893563462</v>
      </c>
      <c r="LJ40" s="16">
        <f t="shared" si="312"/>
        <v>0.93891533246790715</v>
      </c>
      <c r="LK40" s="16">
        <f t="shared" si="312"/>
        <v>0.9387828852269442</v>
      </c>
      <c r="LL40" s="16">
        <f t="shared" si="312"/>
        <v>0.93783470835142568</v>
      </c>
      <c r="LM40" s="16">
        <f t="shared" si="312"/>
        <v>0.93834771886559798</v>
      </c>
      <c r="LN40" s="16">
        <f t="shared" si="312"/>
        <v>0.93891797556719025</v>
      </c>
      <c r="LO40" s="16">
        <f t="shared" si="312"/>
        <v>0.94036596923525551</v>
      </c>
      <c r="LP40" s="16">
        <f t="shared" si="312"/>
        <v>0.94286341356353798</v>
      </c>
      <c r="LQ40" s="16">
        <f t="shared" si="312"/>
        <v>0.94463997653614895</v>
      </c>
      <c r="LR40" s="16">
        <f t="shared" si="312"/>
        <v>0.94703156036195102</v>
      </c>
      <c r="LS40" s="16">
        <f t="shared" si="312"/>
        <v>0.94962700347145279</v>
      </c>
      <c r="LT40" s="16">
        <f t="shared" si="312"/>
        <v>0.95298131118362506</v>
      </c>
      <c r="LU40" s="16">
        <f t="shared" si="312"/>
        <v>0.95699485727062683</v>
      </c>
      <c r="LV40" s="16">
        <f t="shared" si="312"/>
        <v>0.96005983545250562</v>
      </c>
      <c r="LW40" s="16">
        <f t="shared" si="312"/>
        <v>0.96471827277514477</v>
      </c>
      <c r="LX40" s="16">
        <f t="shared" si="312"/>
        <v>0.96665157688245062</v>
      </c>
      <c r="LY40" s="16">
        <f t="shared" si="312"/>
        <v>0.9689582071471835</v>
      </c>
      <c r="LZ40" s="16">
        <f t="shared" si="312"/>
        <v>0.96977291714133818</v>
      </c>
      <c r="MA40" s="16">
        <f t="shared" si="312"/>
        <v>0.97059719683120049</v>
      </c>
      <c r="MB40" s="16">
        <f t="shared" si="312"/>
        <v>0.9712845578127387</v>
      </c>
      <c r="MC40" s="16">
        <f t="shared" si="312"/>
        <v>0.97018804464149211</v>
      </c>
      <c r="MD40" s="16">
        <f t="shared" si="312"/>
        <v>0.96884091257081606</v>
      </c>
      <c r="ME40" s="16">
        <f t="shared" si="312"/>
        <v>0.96804597701149431</v>
      </c>
      <c r="MF40" s="16">
        <f t="shared" si="312"/>
        <v>0.96654902562528766</v>
      </c>
      <c r="MG40" s="16">
        <f t="shared" si="312"/>
        <v>0.96399785061794729</v>
      </c>
      <c r="MH40" s="16">
        <f t="shared" si="312"/>
        <v>0.9602674454349831</v>
      </c>
      <c r="MI40" s="16">
        <f t="shared" si="312"/>
        <v>0.9549404075355632</v>
      </c>
      <c r="MJ40" s="16">
        <f t="shared" si="312"/>
        <v>0.94751423734031093</v>
      </c>
      <c r="MK40" s="16">
        <f t="shared" si="312"/>
        <v>0.93649938423645318</v>
      </c>
      <c r="ML40" s="16">
        <f t="shared" si="312"/>
        <v>0.9280874653526332</v>
      </c>
      <c r="MM40" s="16">
        <f t="shared" si="312"/>
        <v>0.91921447824412783</v>
      </c>
      <c r="MN40" s="16">
        <f t="shared" si="312"/>
        <v>0.90740740740740744</v>
      </c>
      <c r="MO40" s="16">
        <f t="shared" ref="MO40:MV40" si="313">(MO38)/(MO36)</f>
        <v>0.89361044580081894</v>
      </c>
      <c r="MP40" s="16">
        <f t="shared" si="313"/>
        <v>0.87339619724841555</v>
      </c>
      <c r="MQ40" s="16">
        <f t="shared" si="313"/>
        <v>0.85333230245863612</v>
      </c>
      <c r="MR40" s="16">
        <f t="shared" si="313"/>
        <v>0.82830393067161867</v>
      </c>
      <c r="MS40" s="16">
        <f t="shared" si="313"/>
        <v>0.80808237206781763</v>
      </c>
      <c r="MT40" s="16">
        <f t="shared" si="313"/>
        <v>0.7826389964379743</v>
      </c>
      <c r="MU40" s="16">
        <f t="shared" si="313"/>
        <v>0.75243996901626642</v>
      </c>
      <c r="MV40" s="16">
        <f t="shared" si="313"/>
        <v>0.72048678397023491</v>
      </c>
      <c r="MW40" s="16">
        <f t="shared" ref="MW40:OG40" si="314">(MW38)/(MW36)</f>
        <v>0.68595169682379431</v>
      </c>
      <c r="MX40" s="16">
        <f t="shared" si="314"/>
        <v>0.65793971410814167</v>
      </c>
      <c r="MY40" s="16">
        <f t="shared" si="314"/>
        <v>0.62162792505636322</v>
      </c>
      <c r="MZ40" s="16">
        <f t="shared" si="314"/>
        <v>0.59049175225645811</v>
      </c>
      <c r="NA40" s="16">
        <f t="shared" si="314"/>
        <v>0.55337385070905409</v>
      </c>
      <c r="NB40" s="16">
        <f t="shared" si="314"/>
        <v>0.50597516207138948</v>
      </c>
      <c r="NC40" s="16">
        <f t="shared" si="314"/>
        <v>0.46392985253088881</v>
      </c>
      <c r="ND40" s="16">
        <f t="shared" si="314"/>
        <v>0.41973926257698152</v>
      </c>
      <c r="NE40" s="16">
        <f t="shared" si="314"/>
        <v>0.37679762191692778</v>
      </c>
      <c r="NF40" s="16">
        <f t="shared" si="314"/>
        <v>0.34004528546013263</v>
      </c>
      <c r="NG40" s="16">
        <f t="shared" si="314"/>
        <v>0.30985225695861562</v>
      </c>
      <c r="NH40" s="16">
        <f t="shared" si="314"/>
        <v>0.27486347840476583</v>
      </c>
      <c r="NI40" s="16">
        <f t="shared" si="314"/>
        <v>0.24112937210282342</v>
      </c>
      <c r="NJ40" s="16">
        <f t="shared" si="314"/>
        <v>0.21296775306087257</v>
      </c>
      <c r="NK40" s="16">
        <f t="shared" si="314"/>
        <v>0.18614335075750865</v>
      </c>
      <c r="NL40" s="16">
        <f t="shared" si="314"/>
        <v>0.16260311640696609</v>
      </c>
      <c r="NM40" s="16">
        <f t="shared" si="314"/>
        <v>0.14098671726755219</v>
      </c>
      <c r="NN40" s="16">
        <f t="shared" si="314"/>
        <v>0.11982570806100218</v>
      </c>
      <c r="NO40" s="16">
        <f t="shared" si="314"/>
        <v>9.7466902950067755E-2</v>
      </c>
      <c r="NP40" s="16">
        <f t="shared" si="314"/>
        <v>7.9898331307326778E-2</v>
      </c>
      <c r="NQ40" s="16">
        <f t="shared" si="314"/>
        <v>6.2253082724769544E-2</v>
      </c>
      <c r="NR40" s="16">
        <f t="shared" si="314"/>
        <v>4.8652890400209259E-2</v>
      </c>
      <c r="NS40" s="16">
        <f t="shared" si="314"/>
        <v>3.4123770965876231E-2</v>
      </c>
      <c r="NT40" s="16">
        <f t="shared" si="314"/>
        <v>2.9860650298606503E-2</v>
      </c>
      <c r="NU40" s="16">
        <f t="shared" si="314"/>
        <v>2.1296645307199397E-2</v>
      </c>
      <c r="NV40" s="16">
        <f t="shared" si="314"/>
        <v>1.6601983613626563E-2</v>
      </c>
      <c r="NW40" s="16">
        <f t="shared" si="314"/>
        <v>1.4153371075656201E-2</v>
      </c>
      <c r="NX40" s="16">
        <f t="shared" si="314"/>
        <v>1.0880000000000001E-2</v>
      </c>
      <c r="NY40" s="16">
        <f t="shared" si="314"/>
        <v>9.5041322314049579E-3</v>
      </c>
      <c r="NZ40" s="16">
        <f t="shared" si="314"/>
        <v>7.2182121043864516E-3</v>
      </c>
      <c r="OA40" s="16">
        <f t="shared" si="314"/>
        <v>5.2990158970476911E-3</v>
      </c>
      <c r="OB40" s="16">
        <f t="shared" si="314"/>
        <v>7.5839653304442039E-3</v>
      </c>
      <c r="OC40" s="16">
        <f t="shared" si="314"/>
        <v>1.0752688172043012E-2</v>
      </c>
      <c r="OD40" s="16">
        <f t="shared" si="314"/>
        <v>1.0676156583629894E-2</v>
      </c>
      <c r="OE40" s="16">
        <f t="shared" si="314"/>
        <v>-0.22047244094488189</v>
      </c>
      <c r="OF40" s="16">
        <f t="shared" si="314"/>
        <v>-0.43076923076923079</v>
      </c>
      <c r="OG40" s="16">
        <f t="shared" si="314"/>
        <v>-1.1904761904761905</v>
      </c>
    </row>
    <row r="41" spans="1:397">
      <c r="A41" s="13" t="s">
        <v>38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6">
        <f t="shared" ref="IE41" si="315">IE37/IE36</f>
        <v>7.9489184258535323E-3</v>
      </c>
      <c r="IF41" s="16">
        <f t="shared" ref="IF41:IG41" si="316">IF37/IF36</f>
        <v>7.9598094865270443E-3</v>
      </c>
      <c r="IG41" s="16">
        <f t="shared" si="316"/>
        <v>7.9665665404205308E-3</v>
      </c>
      <c r="IH41" s="16">
        <f t="shared" ref="IH41" si="317">IH37/IH36</f>
        <v>7.9764628963713627E-3</v>
      </c>
      <c r="II41" s="16">
        <f t="shared" ref="II41" si="318">II37/II36</f>
        <v>7.9827259045998824E-3</v>
      </c>
      <c r="IJ41" s="16">
        <f t="shared" ref="IJ41:IK41" si="319">IJ37/IJ36</f>
        <v>7.9942336675185108E-3</v>
      </c>
      <c r="IK41" s="16">
        <f t="shared" si="319"/>
        <v>8.0036738174899952E-3</v>
      </c>
      <c r="IL41" s="16">
        <f t="shared" ref="IL41" si="320">IL37/IL36</f>
        <v>8.0173490175461659E-3</v>
      </c>
      <c r="IM41" s="16">
        <f t="shared" ref="IM41:IN41" si="321">IM37/IM36</f>
        <v>8.0315997366688617E-3</v>
      </c>
      <c r="IN41" s="16">
        <f t="shared" si="321"/>
        <v>8.048555218366539E-3</v>
      </c>
      <c r="IO41" s="16">
        <f t="shared" ref="IO41" si="322">IO37/IO36</f>
        <v>8.0634500991407804E-3</v>
      </c>
      <c r="IP41" s="16">
        <f t="shared" ref="IP41:IQ41" si="323">IP37/IP36</f>
        <v>8.086968049847541E-3</v>
      </c>
      <c r="IQ41" s="16">
        <f t="shared" si="323"/>
        <v>8.1084673667419921E-3</v>
      </c>
      <c r="IR41" s="16">
        <f t="shared" ref="IR41" si="324">IR37/IR36</f>
        <v>8.1349603253984132E-3</v>
      </c>
      <c r="IS41" s="16">
        <f t="shared" ref="IS41:IT41" si="325">IS37/IS36</f>
        <v>8.1659973226238282E-3</v>
      </c>
      <c r="IT41" s="16">
        <f t="shared" si="325"/>
        <v>8.1720142005492664E-3</v>
      </c>
      <c r="IU41" s="16">
        <f t="shared" ref="IU41:IV41" si="326">IU37/IU36</f>
        <v>8.1758477415895987E-3</v>
      </c>
      <c r="IV41" s="16">
        <f t="shared" si="326"/>
        <v>8.1818791496210859E-3</v>
      </c>
      <c r="IW41" s="16">
        <f t="shared" ref="IW41" si="327">IW37/IW36</f>
        <v>8.1835256238261336E-3</v>
      </c>
      <c r="IX41" s="16">
        <f t="shared" ref="IX41" si="328">IX37/IX36</f>
        <v>8.1851727608185168E-3</v>
      </c>
      <c r="IY41" s="16">
        <f t="shared" ref="IY41:IZ41" si="329">IY37/IY36</f>
        <v>8.187369975169452E-3</v>
      </c>
      <c r="IZ41" s="16">
        <f t="shared" si="329"/>
        <v>8.1906680093991272E-3</v>
      </c>
      <c r="JA41" s="16">
        <f t="shared" ref="JA41" si="330">JA37/JA36</f>
        <v>8.1923180230996512E-3</v>
      </c>
      <c r="JB41" s="16">
        <f t="shared" ref="JB41:JC41" si="331">JB37/JB36</f>
        <v>8.1950695237455497E-3</v>
      </c>
      <c r="JC41" s="16">
        <f t="shared" si="331"/>
        <v>8.1956200456805052E-3</v>
      </c>
      <c r="JD41" s="16">
        <f t="shared" ref="JD41:JE41" si="332">JD37/JD36</f>
        <v>8.1950695237455497E-3</v>
      </c>
      <c r="JE41" s="16">
        <f t="shared" si="332"/>
        <v>8.1978228732697226E-3</v>
      </c>
      <c r="JF41" s="16">
        <f t="shared" ref="JF41" si="333">JF37/JF36</f>
        <v>8.2066460379389208E-3</v>
      </c>
      <c r="JG41" s="16">
        <f t="shared" ref="JG41" si="334">JG37/JG36</f>
        <v>8.2077502691065667E-3</v>
      </c>
      <c r="JH41" s="16">
        <f t="shared" ref="JH41:JI41" si="335">JH37/JH36</f>
        <v>8.2099596231493942E-3</v>
      </c>
      <c r="JI41" s="16">
        <f t="shared" si="335"/>
        <v>8.2099596231493942E-3</v>
      </c>
      <c r="JJ41" s="16">
        <f t="shared" ref="JJ41:JK41" si="336">JJ37/JJ36</f>
        <v>8.2110647462646392E-3</v>
      </c>
      <c r="JK41" s="16">
        <f t="shared" si="336"/>
        <v>8.2116174193982636E-3</v>
      </c>
      <c r="JL41" s="16">
        <f t="shared" ref="JL41:JM41" si="337">JL37/JL36</f>
        <v>8.2154882154882158E-3</v>
      </c>
      <c r="JM41" s="16">
        <f t="shared" si="337"/>
        <v>8.2215782734685623E-3</v>
      </c>
      <c r="JN41" s="16">
        <f t="shared" ref="JN41:JR41" si="338">JN37/JN36</f>
        <v>8.2232407657050425E-3</v>
      </c>
      <c r="JO41" s="16">
        <f t="shared" si="338"/>
        <v>8.2232407657050425E-3</v>
      </c>
      <c r="JP41" s="16">
        <f t="shared" si="338"/>
        <v>8.2254584681769154E-3</v>
      </c>
      <c r="JQ41" s="16">
        <f t="shared" si="338"/>
        <v>8.2265677680377607E-3</v>
      </c>
      <c r="JR41" s="16">
        <f t="shared" si="338"/>
        <v>8.2293423271500837E-3</v>
      </c>
      <c r="JS41" s="16">
        <f t="shared" ref="JS41:MV41" si="339">JS37/JS36</f>
        <v>8.2321187584345479E-3</v>
      </c>
      <c r="JT41" s="16">
        <f t="shared" si="339"/>
        <v>8.2360089110916079E-3</v>
      </c>
      <c r="JU41" s="16">
        <f t="shared" si="339"/>
        <v>8.171810630107381E-3</v>
      </c>
      <c r="JV41" s="16">
        <f t="shared" si="339"/>
        <v>8.1762281235218601E-3</v>
      </c>
      <c r="JW41" s="16">
        <f t="shared" si="339"/>
        <v>8.1784386617100371E-3</v>
      </c>
      <c r="JX41" s="16">
        <f t="shared" si="339"/>
        <v>8.1800973499188759E-3</v>
      </c>
      <c r="JY41" s="16">
        <f t="shared" si="339"/>
        <v>8.1839702401082185E-3</v>
      </c>
      <c r="JZ41" s="16">
        <f t="shared" si="339"/>
        <v>8.1845238095238099E-3</v>
      </c>
      <c r="KA41" s="16">
        <f t="shared" si="339"/>
        <v>8.1911724884917419E-3</v>
      </c>
      <c r="KB41" s="16">
        <f t="shared" si="339"/>
        <v>8.1983874246222641E-3</v>
      </c>
      <c r="KC41" s="16">
        <f t="shared" si="339"/>
        <v>8.1989429461986722E-3</v>
      </c>
      <c r="KD41" s="16">
        <f t="shared" si="339"/>
        <v>8.1994985430643083E-3</v>
      </c>
      <c r="KE41" s="16">
        <f t="shared" si="339"/>
        <v>8.2006099627245001E-3</v>
      </c>
      <c r="KF41" s="16">
        <f t="shared" si="339"/>
        <v>8.2017216837253441E-3</v>
      </c>
      <c r="KG41" s="16">
        <f t="shared" si="339"/>
        <v>8.2022776572668113E-3</v>
      </c>
      <c r="KH41" s="16">
        <f t="shared" si="339"/>
        <v>8.203946030239339E-3</v>
      </c>
      <c r="KI41" s="16">
        <f t="shared" si="339"/>
        <v>8.2050586559978302E-3</v>
      </c>
      <c r="KJ41" s="16">
        <f t="shared" si="339"/>
        <v>8.2056150820561512E-3</v>
      </c>
      <c r="KK41" s="16">
        <f t="shared" si="339"/>
        <v>8.2122980860594545E-3</v>
      </c>
      <c r="KL41" s="16">
        <f t="shared" si="339"/>
        <v>8.2145281737949754E-3</v>
      </c>
      <c r="KM41" s="16">
        <f t="shared" si="339"/>
        <v>8.226815338591242E-3</v>
      </c>
      <c r="KN41" s="16">
        <f t="shared" si="339"/>
        <v>8.2301727656101213E-3</v>
      </c>
      <c r="KO41" s="16">
        <f t="shared" si="339"/>
        <v>8.1638206680726584E-3</v>
      </c>
      <c r="KP41" s="16">
        <f t="shared" si="339"/>
        <v>8.1699346405228763E-3</v>
      </c>
      <c r="KQ41" s="16">
        <f t="shared" si="339"/>
        <v>8.1766148814390836E-3</v>
      </c>
      <c r="KR41" s="16">
        <f t="shared" si="339"/>
        <v>8.1799591002044997E-3</v>
      </c>
      <c r="KS41" s="16">
        <f t="shared" si="339"/>
        <v>8.1855388813096858E-3</v>
      </c>
      <c r="KT41" s="16">
        <f t="shared" si="339"/>
        <v>8.2023239917976762E-3</v>
      </c>
      <c r="KU41" s="16">
        <f t="shared" si="339"/>
        <v>8.2084957931459063E-3</v>
      </c>
      <c r="KV41" s="16">
        <f t="shared" si="339"/>
        <v>8.2152392688437052E-3</v>
      </c>
      <c r="KW41" s="16">
        <f t="shared" si="339"/>
        <v>8.224247824001097E-3</v>
      </c>
      <c r="KX41" s="16">
        <f t="shared" si="339"/>
        <v>8.2394946443284812E-3</v>
      </c>
      <c r="KY41" s="16">
        <f t="shared" si="339"/>
        <v>8.2542302930251749E-3</v>
      </c>
      <c r="KZ41" s="16">
        <f t="shared" si="339"/>
        <v>8.2804305823902837E-3</v>
      </c>
      <c r="LA41" s="16">
        <f t="shared" si="339"/>
        <v>8.3067977294752869E-3</v>
      </c>
      <c r="LB41" s="16">
        <f t="shared" si="339"/>
        <v>8.3582921223096743E-3</v>
      </c>
      <c r="LC41" s="16">
        <f t="shared" si="339"/>
        <v>8.4216436241139735E-3</v>
      </c>
      <c r="LD41" s="16">
        <f t="shared" si="339"/>
        <v>8.4805653710247342E-3</v>
      </c>
      <c r="LE41" s="16">
        <f t="shared" si="339"/>
        <v>8.5082246171298923E-3</v>
      </c>
      <c r="LF41" s="16">
        <f t="shared" si="339"/>
        <v>8.5336367515289439E-3</v>
      </c>
      <c r="LG41" s="16">
        <f t="shared" si="339"/>
        <v>8.5720408600614331E-3</v>
      </c>
      <c r="LH41" s="16">
        <f t="shared" si="339"/>
        <v>8.5384229030637873E-3</v>
      </c>
      <c r="LI41" s="16">
        <f t="shared" si="339"/>
        <v>8.5580726357425384E-3</v>
      </c>
      <c r="LJ41" s="16">
        <f t="shared" si="339"/>
        <v>8.582143372277513E-3</v>
      </c>
      <c r="LK41" s="16">
        <f t="shared" si="339"/>
        <v>8.6007516623301528E-3</v>
      </c>
      <c r="LL41" s="16">
        <f t="shared" si="339"/>
        <v>8.6119554204660588E-3</v>
      </c>
      <c r="LM41" s="16">
        <f t="shared" si="339"/>
        <v>8.6313193588162754E-3</v>
      </c>
      <c r="LN41" s="16">
        <f t="shared" si="339"/>
        <v>8.6532867946480518E-3</v>
      </c>
      <c r="LO41" s="16">
        <f t="shared" si="339"/>
        <v>8.6024640956477369E-3</v>
      </c>
      <c r="LP41" s="16">
        <f t="shared" si="339"/>
        <v>8.6326724705538087E-3</v>
      </c>
      <c r="LQ41" s="16">
        <f t="shared" si="339"/>
        <v>8.6522950579263815E-3</v>
      </c>
      <c r="LR41" s="16">
        <f t="shared" si="339"/>
        <v>8.6809387184580301E-3</v>
      </c>
      <c r="LS41" s="16">
        <f t="shared" si="339"/>
        <v>8.7155624492207696E-3</v>
      </c>
      <c r="LT41" s="16">
        <f t="shared" si="339"/>
        <v>8.751112429546128E-3</v>
      </c>
      <c r="LU41" s="16">
        <f t="shared" si="339"/>
        <v>8.7948125512409634E-3</v>
      </c>
      <c r="LV41" s="16">
        <f t="shared" si="339"/>
        <v>8.7509349289453999E-3</v>
      </c>
      <c r="LW41" s="16">
        <f t="shared" si="339"/>
        <v>8.8016249153689916E-3</v>
      </c>
      <c r="LX41" s="16">
        <f t="shared" si="339"/>
        <v>8.8275237664101405E-3</v>
      </c>
      <c r="LY41" s="16">
        <f t="shared" si="339"/>
        <v>8.7825560266505155E-3</v>
      </c>
      <c r="LZ41" s="16">
        <f t="shared" si="339"/>
        <v>8.8099035467456514E-3</v>
      </c>
      <c r="MA41" s="16">
        <f t="shared" si="339"/>
        <v>8.7599024984765395E-3</v>
      </c>
      <c r="MB41" s="16">
        <f t="shared" si="339"/>
        <v>8.7826485413166344E-3</v>
      </c>
      <c r="MC41" s="16">
        <f t="shared" si="339"/>
        <v>8.7907047852010395E-3</v>
      </c>
      <c r="MD41" s="16">
        <f t="shared" si="339"/>
        <v>8.727606798346348E-3</v>
      </c>
      <c r="ME41" s="16">
        <f t="shared" si="339"/>
        <v>8.7356321839080452E-3</v>
      </c>
      <c r="MF41" s="16">
        <f t="shared" si="339"/>
        <v>8.7463556851311956E-3</v>
      </c>
      <c r="MG41" s="16">
        <f t="shared" si="339"/>
        <v>8.7510555001151461E-3</v>
      </c>
      <c r="MH41" s="16">
        <f t="shared" si="339"/>
        <v>8.6842914233015676E-3</v>
      </c>
      <c r="MI41" s="16">
        <f t="shared" si="339"/>
        <v>8.612072279892349E-3</v>
      </c>
      <c r="MJ41" s="16">
        <f t="shared" si="339"/>
        <v>8.6193627828228415E-3</v>
      </c>
      <c r="MK41" s="16">
        <f t="shared" si="339"/>
        <v>8.6206896551724137E-3</v>
      </c>
      <c r="ML41" s="16">
        <f t="shared" si="339"/>
        <v>8.5463504773637209E-3</v>
      </c>
      <c r="MM41" s="16">
        <f t="shared" si="339"/>
        <v>8.5483249903735084E-3</v>
      </c>
      <c r="MN41" s="16">
        <f t="shared" si="339"/>
        <v>8.564814814814815E-3</v>
      </c>
      <c r="MO41" s="16">
        <f t="shared" si="339"/>
        <v>8.4988024414741556E-3</v>
      </c>
      <c r="MP41" s="16">
        <f t="shared" si="339"/>
        <v>8.5020868758695321E-3</v>
      </c>
      <c r="MQ41" s="16">
        <f t="shared" si="339"/>
        <v>8.4274006494510587E-3</v>
      </c>
      <c r="MR41" s="16">
        <f t="shared" si="339"/>
        <v>8.4339213865676256E-3</v>
      </c>
      <c r="MS41" s="16">
        <f t="shared" si="339"/>
        <v>8.438491909886197E-3</v>
      </c>
      <c r="MT41" s="16">
        <f t="shared" si="339"/>
        <v>8.363016880904444E-3</v>
      </c>
      <c r="MU41" s="16">
        <f t="shared" si="339"/>
        <v>8.2106893880712628E-3</v>
      </c>
      <c r="MV41" s="16">
        <f t="shared" si="339"/>
        <v>7.983877218820247E-3</v>
      </c>
      <c r="MW41" s="16">
        <f t="shared" ref="MW41:OG41" si="340">MW37/MW36</f>
        <v>7.765783955890347E-3</v>
      </c>
      <c r="MX41" s="16">
        <f t="shared" si="340"/>
        <v>7.7688004972032319E-3</v>
      </c>
      <c r="MY41" s="16">
        <f t="shared" si="340"/>
        <v>7.541009095856332E-3</v>
      </c>
      <c r="MZ41" s="16">
        <f t="shared" si="340"/>
        <v>7.4696545284780582E-3</v>
      </c>
      <c r="NA41" s="16">
        <f t="shared" si="340"/>
        <v>7.4022128720585946E-3</v>
      </c>
      <c r="NB41" s="16">
        <f t="shared" si="340"/>
        <v>7.1858158244161524E-3</v>
      </c>
      <c r="NC41" s="16">
        <f t="shared" si="340"/>
        <v>7.0944599442008772E-3</v>
      </c>
      <c r="ND41" s="16">
        <f t="shared" si="340"/>
        <v>6.6384067823722307E-3</v>
      </c>
      <c r="NE41" s="16">
        <f t="shared" si="340"/>
        <v>6.3469109022254357E-3</v>
      </c>
      <c r="NF41" s="16">
        <f t="shared" si="340"/>
        <v>5.9841500889535821E-3</v>
      </c>
      <c r="NG41" s="16">
        <f t="shared" si="340"/>
        <v>5.6321932903436456E-3</v>
      </c>
      <c r="NH41" s="16">
        <f t="shared" si="340"/>
        <v>5.4608638093662084E-3</v>
      </c>
      <c r="NI41" s="16">
        <f t="shared" si="340"/>
        <v>5.2254530130636323E-3</v>
      </c>
      <c r="NJ41" s="16">
        <f t="shared" si="340"/>
        <v>4.9146404552509052E-3</v>
      </c>
      <c r="NK41" s="16">
        <f t="shared" si="340"/>
        <v>3.9868875697705326E-3</v>
      </c>
      <c r="NL41" s="16">
        <f t="shared" si="340"/>
        <v>3.8496791934005499E-3</v>
      </c>
      <c r="NM41" s="16">
        <f t="shared" si="340"/>
        <v>3.5104364326375712E-3</v>
      </c>
      <c r="NN41" s="16">
        <f t="shared" si="340"/>
        <v>3.0699148346207171E-3</v>
      </c>
      <c r="NO41" s="16">
        <f t="shared" si="340"/>
        <v>2.3975815698947149E-3</v>
      </c>
      <c r="NP41" s="16">
        <f t="shared" si="340"/>
        <v>1.9891700740413305E-3</v>
      </c>
      <c r="NQ41" s="16">
        <f t="shared" si="340"/>
        <v>1.6760445348976416E-3</v>
      </c>
      <c r="NR41" s="16">
        <f t="shared" si="340"/>
        <v>1.4386607376405964E-3</v>
      </c>
      <c r="NS41" s="16">
        <f t="shared" si="340"/>
        <v>1.5905147484094853E-3</v>
      </c>
      <c r="NT41" s="16">
        <f t="shared" si="340"/>
        <v>1.8248175182481751E-3</v>
      </c>
      <c r="NU41" s="16">
        <f t="shared" si="340"/>
        <v>1.8846588767433095E-3</v>
      </c>
      <c r="NV41" s="16">
        <f t="shared" si="340"/>
        <v>2.1561017680034496E-3</v>
      </c>
      <c r="NW41" s="16">
        <f t="shared" si="340"/>
        <v>2.3160061760164694E-3</v>
      </c>
      <c r="NX41" s="16">
        <f t="shared" si="340"/>
        <v>2.5600000000000002E-3</v>
      </c>
      <c r="NY41" s="16">
        <f t="shared" si="340"/>
        <v>2.8925619834710742E-3</v>
      </c>
      <c r="NZ41" s="16">
        <f t="shared" si="340"/>
        <v>3.3314825097168241E-3</v>
      </c>
      <c r="OA41" s="16">
        <f t="shared" si="340"/>
        <v>3.0280090840272521E-3</v>
      </c>
      <c r="OB41" s="16">
        <f t="shared" si="340"/>
        <v>4.3336944745395447E-3</v>
      </c>
      <c r="OC41" s="16">
        <f t="shared" si="340"/>
        <v>3.5842293906810036E-3</v>
      </c>
      <c r="OD41" s="16">
        <f t="shared" si="340"/>
        <v>3.5587188612099642E-3</v>
      </c>
      <c r="OE41" s="16">
        <f t="shared" si="340"/>
        <v>0</v>
      </c>
      <c r="OF41" s="16">
        <f t="shared" si="340"/>
        <v>-0.13846153846153847</v>
      </c>
      <c r="OG41" s="16">
        <f t="shared" si="340"/>
        <v>-0.2857142857142857</v>
      </c>
    </row>
    <row r="42" spans="1:397">
      <c r="A42" s="13" t="s">
        <v>39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6">
        <f t="shared" ref="IE42" si="341">(IE39+IE37)/IE36</f>
        <v>8.4701589783685166E-3</v>
      </c>
      <c r="IF42" s="16">
        <f t="shared" ref="IF42:IG42" si="342">(IF39+IF37)/IF36</f>
        <v>8.4817642069550461E-3</v>
      </c>
      <c r="IG42" s="16">
        <f t="shared" si="342"/>
        <v>8.946062426537808E-3</v>
      </c>
      <c r="IH42" s="16">
        <f t="shared" ref="IH42" si="343">(IH39+IH37)/IH36</f>
        <v>8.7610330173259233E-3</v>
      </c>
      <c r="II42" s="16">
        <f t="shared" ref="II42" si="344">(II39+II37)/II36</f>
        <v>8.8333442386965902E-3</v>
      </c>
      <c r="IJ42" s="16">
        <f t="shared" ref="IJ42:IK42" si="345">(IJ39+IJ37)/IJ36</f>
        <v>8.7805517331760695E-3</v>
      </c>
      <c r="IK42" s="16">
        <f t="shared" si="345"/>
        <v>8.9877320737387651E-3</v>
      </c>
      <c r="IL42" s="16">
        <f t="shared" ref="IL42" si="346">(IL39+IL37)/IL36</f>
        <v>8.8716566997437078E-3</v>
      </c>
      <c r="IM42" s="16">
        <f t="shared" ref="IM42:IN42" si="347">(IM39+IM37)/IM36</f>
        <v>8.887425938117182E-3</v>
      </c>
      <c r="IN42" s="16">
        <f t="shared" si="347"/>
        <v>8.6423010951312846E-3</v>
      </c>
      <c r="IO42" s="16">
        <f t="shared" ref="IO42" si="348">(IO39+IO37)/IO36</f>
        <v>8.5261070720423007E-3</v>
      </c>
      <c r="IP42" s="16">
        <f t="shared" ref="IP42:IQ42" si="349">(IP39+IP37)/IP36</f>
        <v>8.4184011666445704E-3</v>
      </c>
      <c r="IQ42" s="16">
        <f t="shared" si="349"/>
        <v>8.2413930612787456E-3</v>
      </c>
      <c r="IR42" s="16">
        <f t="shared" ref="IR42" si="350">(IR39+IR37)/IR36</f>
        <v>8.2016403280656125E-3</v>
      </c>
      <c r="IS42" s="16">
        <f t="shared" ref="IS42:IT42" si="351">(IS39+IS37)/IS36</f>
        <v>8.1659973226238282E-3</v>
      </c>
      <c r="IT42" s="16">
        <f t="shared" si="351"/>
        <v>8.1720142005492664E-3</v>
      </c>
      <c r="IU42" s="16">
        <f t="shared" ref="IU42:IV42" si="352">(IU39+IU37)/IU36</f>
        <v>8.1758477415895987E-3</v>
      </c>
      <c r="IV42" s="16">
        <f t="shared" si="352"/>
        <v>8.1818791496210859E-3</v>
      </c>
      <c r="IW42" s="16">
        <f t="shared" ref="IW42" si="353">(IW39+IW37)/IW36</f>
        <v>8.1835256238261336E-3</v>
      </c>
      <c r="IX42" s="16">
        <f t="shared" ref="IX42" si="354">(IX39+IX37)/IX36</f>
        <v>8.1851727608185168E-3</v>
      </c>
      <c r="IY42" s="16">
        <f t="shared" ref="IY42:IZ42" si="355">(IY39+IY37)/IY36</f>
        <v>8.187369975169452E-3</v>
      </c>
      <c r="IZ42" s="16">
        <f t="shared" si="355"/>
        <v>8.2578046324269898E-3</v>
      </c>
      <c r="JA42" s="16">
        <f t="shared" ref="JA42" si="356">(JA39+JA37)/JA36</f>
        <v>8.2594681708299759E-3</v>
      </c>
      <c r="JB42" s="16">
        <f t="shared" ref="JB42:JC42" si="357">(JB39+JB37)/JB36</f>
        <v>8.2622422247598578E-3</v>
      </c>
      <c r="JC42" s="16">
        <f t="shared" si="357"/>
        <v>8.2627972591696897E-3</v>
      </c>
      <c r="JD42" s="16">
        <f t="shared" ref="JD42:JE42" si="358">(JD39+JD37)/JD36</f>
        <v>8.3294149257741659E-3</v>
      </c>
      <c r="JE42" s="16">
        <f t="shared" si="358"/>
        <v>8.3322134121757829E-3</v>
      </c>
      <c r="JF42" s="16">
        <f t="shared" ref="JF42" si="359">(JF39+JF37)/JF36</f>
        <v>8.3411812188887401E-3</v>
      </c>
      <c r="JG42" s="16">
        <f t="shared" ref="JG42" si="360">(JG39+JG37)/JG36</f>
        <v>8.3423035522066733E-3</v>
      </c>
      <c r="JH42" s="16">
        <f t="shared" ref="JH42:JI42" si="361">(JH39+JH37)/JH36</f>
        <v>8.3445491251682366E-3</v>
      </c>
      <c r="JI42" s="16">
        <f t="shared" si="361"/>
        <v>8.3445491251682366E-3</v>
      </c>
      <c r="JJ42" s="16">
        <f t="shared" ref="JJ42:JK42" si="362">(JJ39+JJ37)/JJ36</f>
        <v>8.4129761744514732E-3</v>
      </c>
      <c r="JK42" s="16">
        <f t="shared" si="362"/>
        <v>8.5481591169145853E-3</v>
      </c>
      <c r="JL42" s="16">
        <f t="shared" ref="JL42:JM42" si="363">(JL39+JL37)/JL36</f>
        <v>8.5521885521885523E-3</v>
      </c>
      <c r="JM42" s="16">
        <f t="shared" si="363"/>
        <v>8.6259181885571801E-3</v>
      </c>
      <c r="JN42" s="16">
        <f t="shared" ref="JN42:JR42" si="364">(JN39+JN37)/JN36</f>
        <v>8.6950660555405769E-3</v>
      </c>
      <c r="JO42" s="16">
        <f t="shared" si="364"/>
        <v>8.6276624427069296E-3</v>
      </c>
      <c r="JP42" s="16">
        <f t="shared" si="364"/>
        <v>8.6299892125134836E-3</v>
      </c>
      <c r="JQ42" s="16">
        <f t="shared" si="364"/>
        <v>8.6985839514497638E-3</v>
      </c>
      <c r="JR42" s="16">
        <f t="shared" si="364"/>
        <v>8.7689713322091061E-3</v>
      </c>
      <c r="JS42" s="16">
        <f t="shared" ref="JS42:MV42" si="365">(JS39+JS37)/JS36</f>
        <v>8.6369770580296892E-3</v>
      </c>
      <c r="JT42" s="16">
        <f t="shared" si="365"/>
        <v>8.7760750691959766E-3</v>
      </c>
      <c r="JU42" s="16">
        <f t="shared" si="365"/>
        <v>8.7796312554872698E-3</v>
      </c>
      <c r="JV42" s="16">
        <f t="shared" si="365"/>
        <v>8.7843773227920807E-3</v>
      </c>
      <c r="JW42" s="16">
        <f t="shared" si="365"/>
        <v>8.6515714768502869E-3</v>
      </c>
      <c r="JX42" s="16">
        <f t="shared" si="365"/>
        <v>8.7209302325581394E-3</v>
      </c>
      <c r="JY42" s="16">
        <f t="shared" si="365"/>
        <v>8.725059181602976E-3</v>
      </c>
      <c r="JZ42" s="16">
        <f t="shared" si="365"/>
        <v>8.7256493506493501E-3</v>
      </c>
      <c r="KA42" s="16">
        <f t="shared" si="365"/>
        <v>9.0712158137015979E-3</v>
      </c>
      <c r="KB42" s="16">
        <f t="shared" si="365"/>
        <v>9.2147164442035363E-3</v>
      </c>
      <c r="KC42" s="16">
        <f t="shared" si="365"/>
        <v>9.4186204092695479E-3</v>
      </c>
      <c r="KD42" s="16">
        <f t="shared" si="365"/>
        <v>9.7580809107542191E-3</v>
      </c>
      <c r="KE42" s="16">
        <f t="shared" si="365"/>
        <v>9.9627245001694346E-3</v>
      </c>
      <c r="KF42" s="16">
        <f t="shared" si="365"/>
        <v>1.0167423574866129E-2</v>
      </c>
      <c r="KG42" s="16">
        <f t="shared" si="365"/>
        <v>1.0439262472885033E-2</v>
      </c>
      <c r="KH42" s="16">
        <f t="shared" si="365"/>
        <v>1.0509187063529732E-2</v>
      </c>
      <c r="KI42" s="16">
        <f t="shared" si="365"/>
        <v>1.0714043534278158E-2</v>
      </c>
      <c r="KJ42" s="16">
        <f t="shared" si="365"/>
        <v>1.0782585107825851E-2</v>
      </c>
      <c r="KK42" s="16">
        <f t="shared" si="365"/>
        <v>1.0994977602823402E-2</v>
      </c>
      <c r="KL42" s="16">
        <f t="shared" si="365"/>
        <v>1.1608961303462322E-2</v>
      </c>
      <c r="KM42" s="16">
        <f t="shared" si="365"/>
        <v>1.1626325809083493E-2</v>
      </c>
      <c r="KN42" s="16">
        <f t="shared" si="365"/>
        <v>1.1767106516120255E-2</v>
      </c>
      <c r="KO42" s="16">
        <f t="shared" si="365"/>
        <v>1.1633444452003538E-2</v>
      </c>
      <c r="KP42" s="16">
        <f t="shared" si="365"/>
        <v>1.150599128540305E-2</v>
      </c>
      <c r="KQ42" s="16">
        <f t="shared" si="365"/>
        <v>1.1992368492777324E-2</v>
      </c>
      <c r="KR42" s="16">
        <f t="shared" si="365"/>
        <v>1.2338104976141786E-2</v>
      </c>
      <c r="KS42" s="16">
        <f t="shared" si="365"/>
        <v>1.2482946793997271E-2</v>
      </c>
      <c r="KT42" s="16">
        <f t="shared" si="365"/>
        <v>1.2508544087491457E-2</v>
      </c>
      <c r="KU42" s="16">
        <f t="shared" si="365"/>
        <v>1.2381147821328408E-2</v>
      </c>
      <c r="KV42" s="16">
        <f t="shared" si="365"/>
        <v>1.252823988498665E-2</v>
      </c>
      <c r="KW42" s="16">
        <f t="shared" si="365"/>
        <v>1.2199300938934961E-2</v>
      </c>
      <c r="KX42" s="16">
        <f t="shared" si="365"/>
        <v>1.215325460038451E-2</v>
      </c>
      <c r="KY42" s="16">
        <f t="shared" si="365"/>
        <v>1.2174989682212133E-2</v>
      </c>
      <c r="KZ42" s="16">
        <f t="shared" si="365"/>
        <v>1.2144631520839083E-2</v>
      </c>
      <c r="LA42" s="16">
        <f t="shared" si="365"/>
        <v>1.1560293506853107E-2</v>
      </c>
      <c r="LB42" s="16">
        <f t="shared" si="365"/>
        <v>1.1562304102528384E-2</v>
      </c>
      <c r="LC42" s="16">
        <f t="shared" si="365"/>
        <v>1.1649940346690996E-2</v>
      </c>
      <c r="LD42" s="16">
        <f t="shared" si="365"/>
        <v>1.1731448763250883E-2</v>
      </c>
      <c r="LE42" s="16">
        <f t="shared" si="365"/>
        <v>1.1415201361315939E-2</v>
      </c>
      <c r="LF42" s="16">
        <f t="shared" si="365"/>
        <v>1.130706869577585E-2</v>
      </c>
      <c r="LG42" s="16">
        <f t="shared" si="365"/>
        <v>1.0786484748910637E-2</v>
      </c>
      <c r="LH42" s="16">
        <f t="shared" si="365"/>
        <v>1.0475712133170697E-2</v>
      </c>
      <c r="LI42" s="16">
        <f t="shared" si="365"/>
        <v>1.0787486515641856E-2</v>
      </c>
      <c r="LJ42" s="16">
        <f t="shared" si="365"/>
        <v>1.0601471224578106E-2</v>
      </c>
      <c r="LK42" s="16">
        <f t="shared" si="365"/>
        <v>1.0624457935819601E-2</v>
      </c>
      <c r="LL42" s="16">
        <f t="shared" si="365"/>
        <v>1.078303661890288E-2</v>
      </c>
      <c r="LM42" s="16">
        <f t="shared" si="365"/>
        <v>1.0734750126931166E-2</v>
      </c>
      <c r="LN42" s="16">
        <f t="shared" si="365"/>
        <v>1.0907504363001745E-2</v>
      </c>
      <c r="LO42" s="16">
        <f t="shared" si="365"/>
        <v>1.0862433476707735E-2</v>
      </c>
      <c r="LP42" s="16">
        <f t="shared" si="365"/>
        <v>1.0973736191381958E-2</v>
      </c>
      <c r="LQ42" s="16">
        <f t="shared" si="365"/>
        <v>1.0998680158380994E-2</v>
      </c>
      <c r="LR42" s="16">
        <f t="shared" si="365"/>
        <v>1.1255793423085412E-2</v>
      </c>
      <c r="LS42" s="16">
        <f t="shared" si="365"/>
        <v>1.1300686904498116E-2</v>
      </c>
      <c r="LT42" s="16">
        <f t="shared" si="365"/>
        <v>1.1272619400771285E-2</v>
      </c>
      <c r="LU42" s="16">
        <f t="shared" si="365"/>
        <v>1.1105314153685623E-2</v>
      </c>
      <c r="LV42" s="16">
        <f t="shared" si="365"/>
        <v>1.1293941660433807E-2</v>
      </c>
      <c r="LW42" s="16">
        <f t="shared" si="365"/>
        <v>1.1434589633641766E-2</v>
      </c>
      <c r="LX42" s="16">
        <f t="shared" si="365"/>
        <v>1.1317338162064282E-2</v>
      </c>
      <c r="LY42" s="16">
        <f t="shared" si="365"/>
        <v>1.1508176862507571E-2</v>
      </c>
      <c r="LZ42" s="16">
        <f t="shared" si="365"/>
        <v>1.1695906432748537E-2</v>
      </c>
      <c r="MA42" s="16">
        <f t="shared" si="365"/>
        <v>1.180682510664229E-2</v>
      </c>
      <c r="MB42" s="16">
        <f t="shared" si="365"/>
        <v>1.199022453031923E-2</v>
      </c>
      <c r="MC42" s="16">
        <f t="shared" si="365"/>
        <v>1.2459868521632778E-2</v>
      </c>
      <c r="MD42" s="16">
        <f t="shared" si="365"/>
        <v>1.3091410197519523E-2</v>
      </c>
      <c r="ME42" s="16">
        <f t="shared" si="365"/>
        <v>1.3563218390804597E-2</v>
      </c>
      <c r="MF42" s="16">
        <f t="shared" si="365"/>
        <v>1.3886757710603038E-2</v>
      </c>
      <c r="MG42" s="16">
        <f t="shared" si="365"/>
        <v>1.4278037921240501E-2</v>
      </c>
      <c r="MH42" s="16">
        <f t="shared" si="365"/>
        <v>1.4601905932984938E-2</v>
      </c>
      <c r="MI42" s="16">
        <f t="shared" si="365"/>
        <v>1.4763552479815456E-2</v>
      </c>
      <c r="MJ42" s="16">
        <f t="shared" si="365"/>
        <v>1.5776512236416809E-2</v>
      </c>
      <c r="MK42" s="16">
        <f t="shared" si="365"/>
        <v>1.7857142857142856E-2</v>
      </c>
      <c r="ML42" s="16">
        <f t="shared" si="365"/>
        <v>1.8093624884508778E-2</v>
      </c>
      <c r="MM42" s="16">
        <f t="shared" si="365"/>
        <v>1.8559876780901041E-2</v>
      </c>
      <c r="MN42" s="16">
        <f t="shared" si="365"/>
        <v>2.0061728395061727E-2</v>
      </c>
      <c r="MO42" s="16">
        <f t="shared" si="365"/>
        <v>2.1169744263308352E-2</v>
      </c>
      <c r="MP42" s="16">
        <f t="shared" si="365"/>
        <v>2.2723759468233112E-2</v>
      </c>
      <c r="MQ42" s="16">
        <f t="shared" si="365"/>
        <v>2.4895623936910468E-2</v>
      </c>
      <c r="MR42" s="16">
        <f t="shared" si="365"/>
        <v>2.684927267099969E-2</v>
      </c>
      <c r="MS42" s="16">
        <f t="shared" si="365"/>
        <v>2.8412170008515911E-2</v>
      </c>
      <c r="MT42" s="16">
        <f t="shared" si="365"/>
        <v>3.1129007278922101E-2</v>
      </c>
      <c r="MU42" s="16">
        <f t="shared" si="365"/>
        <v>3.2920216886134779E-2</v>
      </c>
      <c r="MV42" s="16">
        <f t="shared" si="365"/>
        <v>3.6043717541275867E-2</v>
      </c>
      <c r="MW42" s="16">
        <f t="shared" ref="MW42:OG42" si="366">(MW39+MW37)/MW36</f>
        <v>4.0848023607983223E-2</v>
      </c>
      <c r="MX42" s="16">
        <f t="shared" si="366"/>
        <v>4.2806090739589804E-2</v>
      </c>
      <c r="MY42" s="16">
        <f t="shared" si="366"/>
        <v>4.5246054575137994E-2</v>
      </c>
      <c r="MZ42" s="16">
        <f t="shared" si="366"/>
        <v>4.9486461251167131E-2</v>
      </c>
      <c r="NA42" s="16">
        <f t="shared" si="366"/>
        <v>5.2984260557893098E-2</v>
      </c>
      <c r="NB42" s="16">
        <f t="shared" si="366"/>
        <v>5.6861673045379986E-2</v>
      </c>
      <c r="NC42" s="16">
        <f t="shared" si="366"/>
        <v>6.1777600637704266E-2</v>
      </c>
      <c r="ND42" s="16">
        <f t="shared" si="366"/>
        <v>6.5104374950011992E-2</v>
      </c>
      <c r="NE42" s="16">
        <f t="shared" si="366"/>
        <v>6.8289547682172408E-2</v>
      </c>
      <c r="NF42" s="16">
        <f t="shared" si="366"/>
        <v>7.4478408539543905E-2</v>
      </c>
      <c r="NG42" s="16">
        <f t="shared" si="366"/>
        <v>7.7136560280793409E-2</v>
      </c>
      <c r="NH42" s="16">
        <f t="shared" si="366"/>
        <v>8.0009928843289752E-2</v>
      </c>
      <c r="NI42" s="16">
        <f t="shared" si="366"/>
        <v>8.3270122208175312E-2</v>
      </c>
      <c r="NJ42" s="16">
        <f t="shared" si="366"/>
        <v>8.6480427659941364E-2</v>
      </c>
      <c r="NK42" s="16">
        <f t="shared" si="366"/>
        <v>8.9306281562859927E-2</v>
      </c>
      <c r="NL42" s="16">
        <f t="shared" si="366"/>
        <v>9.4500458295142073E-2</v>
      </c>
      <c r="NM42" s="16">
        <f t="shared" si="366"/>
        <v>9.6394686907020868E-2</v>
      </c>
      <c r="NN42" s="16">
        <f t="shared" si="366"/>
        <v>9.6256684491978606E-2</v>
      </c>
      <c r="NO42" s="16">
        <f t="shared" si="366"/>
        <v>9.6841446888356095E-2</v>
      </c>
      <c r="NP42" s="16">
        <f t="shared" si="366"/>
        <v>9.2496408442921868E-2</v>
      </c>
      <c r="NQ42" s="16">
        <f t="shared" si="366"/>
        <v>9.4457081288159939E-2</v>
      </c>
      <c r="NR42" s="16">
        <f t="shared" si="366"/>
        <v>9.2859011247711218E-2</v>
      </c>
      <c r="NS42" s="16">
        <f t="shared" si="366"/>
        <v>9.4852515905147483E-2</v>
      </c>
      <c r="NT42" s="16">
        <f t="shared" si="366"/>
        <v>0.10053085600530856</v>
      </c>
      <c r="NU42" s="16">
        <f t="shared" si="366"/>
        <v>0.10516396532227666</v>
      </c>
      <c r="NV42" s="16">
        <f t="shared" si="366"/>
        <v>0.11017680034497629</v>
      </c>
      <c r="NW42" s="16">
        <f t="shared" si="366"/>
        <v>0.11374163664436439</v>
      </c>
      <c r="NX42" s="16">
        <f t="shared" si="366"/>
        <v>0.12479999999999999</v>
      </c>
      <c r="NY42" s="16">
        <f t="shared" si="366"/>
        <v>0.14338842975206612</v>
      </c>
      <c r="NZ42" s="16">
        <f t="shared" si="366"/>
        <v>0.16213214880621876</v>
      </c>
      <c r="OA42" s="16">
        <f t="shared" si="366"/>
        <v>0.13247539742619227</v>
      </c>
      <c r="OB42" s="16">
        <f t="shared" si="366"/>
        <v>0.21560130010834236</v>
      </c>
      <c r="OC42" s="16">
        <f t="shared" si="366"/>
        <v>0.14695340501792115</v>
      </c>
      <c r="OD42" s="16">
        <f t="shared" si="366"/>
        <v>0.17437722419928825</v>
      </c>
      <c r="OE42" s="16">
        <f t="shared" si="366"/>
        <v>0</v>
      </c>
      <c r="OF42" s="16">
        <f t="shared" si="366"/>
        <v>-1.4923076923076923</v>
      </c>
      <c r="OG42" s="16">
        <f t="shared" si="366"/>
        <v>-3.2857142857142856</v>
      </c>
    </row>
    <row r="44" spans="1:397">
      <c r="A44" s="11" t="s">
        <v>55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8">
        <v>44006</v>
      </c>
      <c r="IF44" s="8">
        <v>44005</v>
      </c>
      <c r="IG44" s="8">
        <v>44006</v>
      </c>
      <c r="IH44" s="8">
        <v>44005</v>
      </c>
      <c r="II44" s="8">
        <v>44004</v>
      </c>
      <c r="IJ44" s="8">
        <v>44003</v>
      </c>
      <c r="IK44" s="8">
        <v>44002</v>
      </c>
      <c r="IL44" s="8">
        <v>44001</v>
      </c>
      <c r="IM44" s="8">
        <v>44000</v>
      </c>
      <c r="IN44" s="8">
        <v>43999</v>
      </c>
      <c r="IO44" s="8">
        <v>43998</v>
      </c>
      <c r="IP44" s="8">
        <v>43997</v>
      </c>
      <c r="IQ44" s="8">
        <v>43996</v>
      </c>
      <c r="IR44" s="8">
        <v>43995</v>
      </c>
      <c r="IS44" s="8">
        <v>43994</v>
      </c>
      <c r="IT44" s="8">
        <v>43993</v>
      </c>
      <c r="IU44" s="8">
        <v>43992</v>
      </c>
      <c r="IV44" s="8">
        <v>43991</v>
      </c>
      <c r="IW44" s="8">
        <v>43990</v>
      </c>
      <c r="IX44" s="8">
        <v>43989</v>
      </c>
      <c r="IY44" s="8">
        <v>43988</v>
      </c>
      <c r="IZ44" s="8">
        <v>43987</v>
      </c>
      <c r="JA44" s="8">
        <v>43986</v>
      </c>
      <c r="JB44" s="8">
        <v>43985</v>
      </c>
      <c r="JC44" s="8">
        <v>43984</v>
      </c>
      <c r="JD44" s="8">
        <v>43983</v>
      </c>
      <c r="JE44" s="8">
        <v>43982</v>
      </c>
      <c r="JF44" s="8">
        <v>43981</v>
      </c>
      <c r="JG44" s="8">
        <v>43980</v>
      </c>
      <c r="JH44" s="8">
        <v>43979</v>
      </c>
      <c r="JI44" s="8">
        <v>43978</v>
      </c>
      <c r="JJ44" s="8">
        <v>43977</v>
      </c>
      <c r="JK44" s="8">
        <v>43976</v>
      </c>
      <c r="JL44" s="8">
        <v>43975</v>
      </c>
      <c r="JM44" s="8">
        <v>43974</v>
      </c>
      <c r="JN44" s="8">
        <v>43973</v>
      </c>
      <c r="JO44" s="8">
        <v>43972</v>
      </c>
      <c r="JP44" s="8">
        <v>43971</v>
      </c>
      <c r="JQ44" s="8">
        <v>43970</v>
      </c>
      <c r="JR44" s="8">
        <v>43969</v>
      </c>
      <c r="JS44" s="8">
        <v>43968</v>
      </c>
      <c r="JT44" s="8">
        <v>43967</v>
      </c>
      <c r="JU44" s="8">
        <v>43966</v>
      </c>
      <c r="JV44" s="8">
        <v>43965</v>
      </c>
      <c r="JW44" s="8">
        <v>43964</v>
      </c>
      <c r="JX44" s="8">
        <v>43963</v>
      </c>
      <c r="JY44" s="8">
        <v>43962</v>
      </c>
      <c r="JZ44" s="8">
        <v>43961</v>
      </c>
      <c r="KA44" s="8">
        <v>43960</v>
      </c>
      <c r="KB44" s="8">
        <v>43959</v>
      </c>
      <c r="KC44" s="8">
        <v>43958</v>
      </c>
      <c r="KD44" s="8">
        <v>43957</v>
      </c>
      <c r="KE44" s="8">
        <v>43956</v>
      </c>
      <c r="KF44" s="8">
        <v>43955</v>
      </c>
      <c r="KG44" s="8">
        <v>43954</v>
      </c>
      <c r="KH44" s="8">
        <v>43953</v>
      </c>
      <c r="KI44" s="8">
        <v>43952</v>
      </c>
      <c r="KJ44" s="8">
        <v>43951</v>
      </c>
      <c r="KK44" s="8">
        <v>43950</v>
      </c>
      <c r="KL44" s="8">
        <v>43949</v>
      </c>
      <c r="KM44" s="8">
        <v>43948</v>
      </c>
      <c r="KN44" s="8">
        <v>43947</v>
      </c>
      <c r="KO44" s="8">
        <v>43946</v>
      </c>
      <c r="KP44" s="8">
        <v>43945</v>
      </c>
      <c r="KQ44" s="8">
        <v>43944</v>
      </c>
      <c r="KR44" s="8">
        <v>43943</v>
      </c>
      <c r="KS44" s="8">
        <v>43942</v>
      </c>
      <c r="KT44" s="8">
        <v>43941</v>
      </c>
      <c r="KU44" s="8">
        <v>43940</v>
      </c>
      <c r="KV44" s="8">
        <v>43939</v>
      </c>
      <c r="KW44" s="8">
        <v>43938</v>
      </c>
      <c r="KX44" s="8">
        <v>43937</v>
      </c>
      <c r="KY44" s="8">
        <v>43936</v>
      </c>
      <c r="KZ44" s="8">
        <v>43935</v>
      </c>
      <c r="LA44" s="8">
        <v>43934</v>
      </c>
      <c r="LB44" s="8">
        <v>43933</v>
      </c>
      <c r="LC44" s="8">
        <v>43932</v>
      </c>
      <c r="LD44" s="8">
        <v>43931</v>
      </c>
      <c r="LE44" s="8">
        <v>43930</v>
      </c>
      <c r="LF44" s="8">
        <v>43929</v>
      </c>
      <c r="LG44" s="8">
        <v>43928</v>
      </c>
      <c r="LH44" s="8">
        <v>43927</v>
      </c>
      <c r="LI44" s="8">
        <v>43926</v>
      </c>
      <c r="LJ44" s="8">
        <v>43925</v>
      </c>
      <c r="LK44" s="8">
        <v>43924</v>
      </c>
      <c r="LL44" s="8">
        <v>43923</v>
      </c>
      <c r="LM44" s="8">
        <v>43922</v>
      </c>
      <c r="LN44" s="8">
        <v>43921</v>
      </c>
      <c r="LO44" s="8">
        <v>43920</v>
      </c>
      <c r="LP44" s="8">
        <v>43919</v>
      </c>
      <c r="LQ44" s="8">
        <v>43918</v>
      </c>
      <c r="LR44" s="8">
        <v>43917</v>
      </c>
      <c r="LS44" s="8">
        <v>43916</v>
      </c>
      <c r="LT44" s="8">
        <v>43915</v>
      </c>
      <c r="LU44" s="8">
        <v>43914</v>
      </c>
      <c r="LV44" s="8">
        <v>43913</v>
      </c>
      <c r="LW44" s="8">
        <v>43912</v>
      </c>
      <c r="LX44" s="8">
        <v>43911</v>
      </c>
      <c r="LY44" s="8">
        <v>43910</v>
      </c>
      <c r="LZ44" s="8">
        <v>43909</v>
      </c>
      <c r="MA44" s="8">
        <v>43908</v>
      </c>
      <c r="MB44" s="8">
        <v>43907</v>
      </c>
      <c r="MC44" s="8">
        <v>43906</v>
      </c>
      <c r="MD44" s="8">
        <v>43905</v>
      </c>
      <c r="ME44" s="8">
        <v>43904</v>
      </c>
      <c r="MF44" s="8">
        <v>43903</v>
      </c>
      <c r="MG44" s="8">
        <v>43902</v>
      </c>
      <c r="MH44" s="8">
        <v>43901</v>
      </c>
      <c r="MI44" s="8">
        <v>43900</v>
      </c>
      <c r="MJ44" s="8">
        <v>43899</v>
      </c>
      <c r="MK44" s="8">
        <v>43898</v>
      </c>
      <c r="ML44" s="8">
        <v>43897</v>
      </c>
      <c r="MM44" s="8">
        <v>43896</v>
      </c>
      <c r="MN44" s="8">
        <v>43895</v>
      </c>
      <c r="MO44" s="8">
        <v>43894</v>
      </c>
      <c r="MP44" s="8">
        <v>43893</v>
      </c>
      <c r="MQ44" s="8">
        <v>43892</v>
      </c>
      <c r="MR44" s="8">
        <v>43891</v>
      </c>
      <c r="MS44" s="12">
        <v>43890</v>
      </c>
      <c r="MT44" s="12">
        <v>43889</v>
      </c>
      <c r="MU44" s="12">
        <v>43888</v>
      </c>
      <c r="MV44" s="12">
        <v>43887</v>
      </c>
      <c r="MW44" s="12">
        <v>43886</v>
      </c>
      <c r="MX44" s="12">
        <v>43885</v>
      </c>
      <c r="MY44" s="12">
        <v>43884</v>
      </c>
      <c r="MZ44" s="12">
        <v>43883</v>
      </c>
      <c r="NA44" s="12">
        <v>43882</v>
      </c>
      <c r="NB44" s="12">
        <v>43881</v>
      </c>
      <c r="NC44" s="12">
        <v>43880</v>
      </c>
      <c r="ND44" s="12">
        <v>43879</v>
      </c>
      <c r="NE44" s="12">
        <v>43878</v>
      </c>
      <c r="NF44" s="12">
        <v>43877</v>
      </c>
      <c r="NG44" s="12">
        <v>43876</v>
      </c>
      <c r="NH44" s="12">
        <v>43875</v>
      </c>
      <c r="NI44" s="12">
        <v>43874</v>
      </c>
      <c r="NJ44" s="12">
        <v>43873</v>
      </c>
      <c r="NK44" s="12">
        <v>43872</v>
      </c>
      <c r="NL44" s="12">
        <v>43871</v>
      </c>
      <c r="NM44" s="12">
        <v>43870</v>
      </c>
      <c r="NN44" s="12">
        <v>43869</v>
      </c>
      <c r="NO44" s="12">
        <v>43868</v>
      </c>
      <c r="NP44" s="12">
        <v>43867</v>
      </c>
      <c r="NQ44" s="12">
        <v>43866</v>
      </c>
      <c r="NR44" s="12">
        <v>43865</v>
      </c>
      <c r="NS44" s="12">
        <v>43864</v>
      </c>
      <c r="NT44" s="12">
        <v>43863</v>
      </c>
      <c r="NU44" s="12">
        <v>43862</v>
      </c>
      <c r="NV44" s="12">
        <v>43861</v>
      </c>
      <c r="NW44" s="12">
        <v>43860</v>
      </c>
      <c r="NX44" s="12">
        <v>43859</v>
      </c>
      <c r="NY44" s="12">
        <v>43858</v>
      </c>
      <c r="NZ44" s="12">
        <v>43857</v>
      </c>
      <c r="OA44" s="12">
        <v>43856</v>
      </c>
      <c r="OB44" s="12">
        <v>43855</v>
      </c>
      <c r="OC44" s="12">
        <v>43854</v>
      </c>
      <c r="OD44" s="12">
        <v>43853</v>
      </c>
      <c r="OE44" s="12">
        <v>43852</v>
      </c>
      <c r="OF44" s="12">
        <v>43851</v>
      </c>
      <c r="OG44" s="12">
        <v>43850</v>
      </c>
    </row>
    <row r="45" spans="1:397">
      <c r="A45" s="13" t="s">
        <v>32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>
        <v>0</v>
      </c>
      <c r="IF45" s="13">
        <v>0</v>
      </c>
      <c r="IG45" s="13">
        <v>0</v>
      </c>
      <c r="IH45" s="13">
        <v>0</v>
      </c>
      <c r="II45" s="13">
        <v>0</v>
      </c>
      <c r="IJ45" s="13">
        <v>0</v>
      </c>
      <c r="IK45" s="13">
        <v>0</v>
      </c>
      <c r="IL45" s="13">
        <v>0</v>
      </c>
      <c r="IM45" s="13">
        <v>0</v>
      </c>
      <c r="IN45" s="13">
        <v>0</v>
      </c>
      <c r="IO45" s="13">
        <v>0</v>
      </c>
      <c r="IP45" s="13">
        <v>0</v>
      </c>
      <c r="IQ45" s="13">
        <v>0</v>
      </c>
      <c r="IR45" s="13">
        <v>0</v>
      </c>
      <c r="IS45" s="13">
        <v>0</v>
      </c>
      <c r="IT45" s="13">
        <v>0</v>
      </c>
      <c r="IU45" s="13">
        <v>0</v>
      </c>
      <c r="IV45" s="13">
        <v>0</v>
      </c>
      <c r="IW45" s="13">
        <v>0</v>
      </c>
      <c r="IX45" s="13">
        <v>0</v>
      </c>
      <c r="IY45" s="13">
        <v>0</v>
      </c>
      <c r="IZ45" s="13">
        <v>0</v>
      </c>
      <c r="JA45" s="13">
        <v>0</v>
      </c>
      <c r="JB45" s="13">
        <v>0</v>
      </c>
      <c r="JC45" s="13">
        <v>0</v>
      </c>
      <c r="JD45" s="13">
        <v>0</v>
      </c>
      <c r="JE45" s="13">
        <v>0</v>
      </c>
      <c r="JF45" s="13">
        <v>0</v>
      </c>
      <c r="JG45" s="13">
        <v>0</v>
      </c>
      <c r="JH45" s="13">
        <v>0</v>
      </c>
      <c r="JI45" s="13">
        <v>0</v>
      </c>
      <c r="JJ45" s="13">
        <v>0</v>
      </c>
      <c r="JK45" s="13">
        <v>0</v>
      </c>
      <c r="JL45" s="13">
        <v>0</v>
      </c>
      <c r="JM45" s="13">
        <v>0</v>
      </c>
      <c r="JN45" s="13">
        <v>0</v>
      </c>
      <c r="JO45" s="13">
        <v>0</v>
      </c>
      <c r="JP45" s="13">
        <v>0</v>
      </c>
      <c r="JQ45" s="13">
        <v>0</v>
      </c>
      <c r="JR45" s="13">
        <v>1</v>
      </c>
      <c r="JS45" s="13">
        <v>0</v>
      </c>
      <c r="JT45" s="13">
        <v>0</v>
      </c>
      <c r="JU45" s="13">
        <v>0</v>
      </c>
      <c r="JV45" s="13">
        <v>0</v>
      </c>
      <c r="JW45" s="13">
        <v>0</v>
      </c>
      <c r="JX45" s="13">
        <v>0</v>
      </c>
      <c r="JY45" s="13">
        <v>0</v>
      </c>
      <c r="JZ45" s="13">
        <v>5</v>
      </c>
      <c r="KA45" s="13">
        <v>1</v>
      </c>
      <c r="KB45" s="13">
        <v>0</v>
      </c>
      <c r="KC45" s="13">
        <v>0</v>
      </c>
      <c r="KD45" s="13">
        <v>0</v>
      </c>
      <c r="KE45" s="13">
        <v>0</v>
      </c>
      <c r="KF45" s="13">
        <v>0</v>
      </c>
      <c r="KG45" s="13">
        <v>0</v>
      </c>
      <c r="KH45" s="13">
        <v>0</v>
      </c>
      <c r="KI45" s="13">
        <v>0</v>
      </c>
      <c r="KJ45" s="13">
        <v>0</v>
      </c>
      <c r="KK45" s="13">
        <v>0</v>
      </c>
      <c r="KL45" s="13">
        <v>0</v>
      </c>
      <c r="KM45" s="13">
        <v>0</v>
      </c>
      <c r="KN45" s="13">
        <v>0</v>
      </c>
      <c r="KO45" s="13">
        <v>0</v>
      </c>
      <c r="KP45" s="13">
        <v>0</v>
      </c>
      <c r="KQ45" s="13">
        <v>0</v>
      </c>
      <c r="KR45" s="13">
        <v>0</v>
      </c>
      <c r="KS45" s="13">
        <v>0</v>
      </c>
      <c r="KT45" s="13">
        <v>0</v>
      </c>
      <c r="KU45" s="13">
        <v>0</v>
      </c>
      <c r="KV45" s="13">
        <v>0</v>
      </c>
      <c r="KW45" s="13">
        <v>0</v>
      </c>
      <c r="KX45" s="13">
        <v>0</v>
      </c>
      <c r="KY45" s="13">
        <v>0</v>
      </c>
      <c r="KZ45" s="13">
        <v>0</v>
      </c>
      <c r="LA45" s="13">
        <v>0</v>
      </c>
      <c r="LB45" s="13">
        <v>0</v>
      </c>
      <c r="LC45" s="13">
        <v>0</v>
      </c>
      <c r="LD45" s="13">
        <v>0</v>
      </c>
      <c r="LE45" s="13">
        <v>0</v>
      </c>
      <c r="LF45" s="13">
        <v>45</v>
      </c>
      <c r="LG45" s="13">
        <v>0</v>
      </c>
      <c r="LH45" s="13">
        <v>0</v>
      </c>
      <c r="LI45" s="13">
        <v>0</v>
      </c>
      <c r="LJ45" s="13">
        <v>0</v>
      </c>
      <c r="LK45" s="13">
        <v>1</v>
      </c>
      <c r="LL45" s="13">
        <v>0</v>
      </c>
      <c r="LM45" s="13">
        <v>0</v>
      </c>
      <c r="LN45" s="13">
        <v>1</v>
      </c>
      <c r="LO45" s="13">
        <v>0</v>
      </c>
      <c r="LP45" s="13">
        <v>0</v>
      </c>
      <c r="LQ45" s="13">
        <v>0</v>
      </c>
      <c r="LR45" s="13">
        <v>0</v>
      </c>
      <c r="LS45" s="13">
        <v>0</v>
      </c>
      <c r="LT45" s="13">
        <v>0</v>
      </c>
      <c r="LU45" s="13">
        <v>0</v>
      </c>
      <c r="LV45" s="13">
        <v>1</v>
      </c>
      <c r="LW45" s="13">
        <v>0</v>
      </c>
      <c r="LX45" s="13">
        <v>0</v>
      </c>
      <c r="LY45" s="13">
        <v>0</v>
      </c>
      <c r="LZ45" s="13">
        <v>0</v>
      </c>
      <c r="MA45" s="13">
        <v>0</v>
      </c>
      <c r="MB45" s="13">
        <v>1</v>
      </c>
      <c r="MC45" s="13">
        <v>1</v>
      </c>
      <c r="MD45" s="13">
        <v>4</v>
      </c>
      <c r="ME45" s="13">
        <v>4</v>
      </c>
      <c r="MF45" s="13">
        <v>4</v>
      </c>
      <c r="MG45" s="13">
        <v>5</v>
      </c>
      <c r="MH45" s="13">
        <v>8</v>
      </c>
      <c r="MI45" s="13">
        <v>13</v>
      </c>
      <c r="MJ45" s="13">
        <v>17</v>
      </c>
      <c r="MK45" s="13">
        <v>36</v>
      </c>
      <c r="ML45" s="13">
        <v>41</v>
      </c>
      <c r="MM45" s="13">
        <v>74</v>
      </c>
      <c r="MN45" s="13">
        <v>126</v>
      </c>
      <c r="MO45" s="13">
        <v>134</v>
      </c>
      <c r="MP45" s="13">
        <v>115</v>
      </c>
      <c r="MQ45" s="13">
        <v>114</v>
      </c>
      <c r="MR45" s="13">
        <v>196</v>
      </c>
      <c r="MS45" s="13">
        <v>570</v>
      </c>
      <c r="MT45" s="13">
        <v>423</v>
      </c>
      <c r="MU45" s="13">
        <v>318</v>
      </c>
      <c r="MV45" s="13">
        <v>409</v>
      </c>
      <c r="MW45" s="13">
        <v>401</v>
      </c>
      <c r="MX45" s="13">
        <v>499</v>
      </c>
      <c r="MY45" s="13">
        <v>398</v>
      </c>
      <c r="MZ45" s="13">
        <v>630</v>
      </c>
      <c r="NA45" s="13">
        <v>366</v>
      </c>
      <c r="NB45" s="13">
        <v>631</v>
      </c>
      <c r="NC45" s="13">
        <v>775</v>
      </c>
      <c r="ND45" s="13">
        <v>1693</v>
      </c>
      <c r="NE45" s="13">
        <v>1807</v>
      </c>
      <c r="NF45" s="13">
        <v>1933</v>
      </c>
      <c r="NG45" s="13">
        <v>1843</v>
      </c>
      <c r="NH45" s="13">
        <v>2420</v>
      </c>
      <c r="NI45" s="13">
        <v>4823</v>
      </c>
      <c r="NJ45" s="13">
        <v>14840</v>
      </c>
      <c r="NK45" s="13">
        <v>1638</v>
      </c>
      <c r="NL45" s="13">
        <v>2097</v>
      </c>
      <c r="NM45" s="13">
        <v>2618</v>
      </c>
      <c r="NN45" s="13">
        <v>2147</v>
      </c>
      <c r="NO45" s="13">
        <v>2841</v>
      </c>
      <c r="NP45" s="13">
        <v>2447</v>
      </c>
      <c r="NQ45" s="13">
        <v>2987</v>
      </c>
      <c r="NR45" s="13">
        <v>3156</v>
      </c>
      <c r="NS45" s="13">
        <v>2345</v>
      </c>
      <c r="NT45" s="13">
        <v>2103</v>
      </c>
      <c r="NU45" s="13">
        <v>1921</v>
      </c>
      <c r="NV45" s="13">
        <v>1347</v>
      </c>
      <c r="NW45" s="13">
        <v>1220</v>
      </c>
      <c r="NX45" s="13">
        <v>1032</v>
      </c>
      <c r="NY45" s="13">
        <v>840</v>
      </c>
      <c r="NZ45" s="13">
        <v>1291</v>
      </c>
      <c r="OA45" s="13">
        <v>371</v>
      </c>
      <c r="OB45" s="13">
        <v>323</v>
      </c>
      <c r="OC45" s="13">
        <v>180</v>
      </c>
      <c r="OD45" s="13">
        <v>105</v>
      </c>
      <c r="OE45" s="13">
        <v>69</v>
      </c>
      <c r="OF45" s="13">
        <v>105</v>
      </c>
      <c r="OG45" s="13">
        <v>72</v>
      </c>
    </row>
    <row r="46" spans="1:397">
      <c r="A46" s="13" t="s">
        <v>41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>
        <v>0</v>
      </c>
      <c r="IF46" s="13">
        <v>0</v>
      </c>
      <c r="IG46" s="13">
        <v>0</v>
      </c>
      <c r="IH46" s="13">
        <v>0</v>
      </c>
      <c r="II46" s="13">
        <v>0</v>
      </c>
      <c r="IJ46" s="13">
        <v>0</v>
      </c>
      <c r="IK46" s="13">
        <v>0</v>
      </c>
      <c r="IL46" s="13">
        <v>0</v>
      </c>
      <c r="IM46" s="13">
        <v>0</v>
      </c>
      <c r="IN46" s="13">
        <v>0</v>
      </c>
      <c r="IO46" s="13">
        <v>0</v>
      </c>
      <c r="IP46" s="13">
        <v>0</v>
      </c>
      <c r="IQ46" s="13">
        <v>0</v>
      </c>
      <c r="IR46" s="13">
        <v>0</v>
      </c>
      <c r="IS46" s="13">
        <v>0</v>
      </c>
      <c r="IT46" s="13">
        <v>0</v>
      </c>
      <c r="IU46" s="13">
        <v>0</v>
      </c>
      <c r="IV46" s="13">
        <v>0</v>
      </c>
      <c r="IW46" s="13">
        <v>0</v>
      </c>
      <c r="IX46" s="13">
        <v>0</v>
      </c>
      <c r="IY46" s="13">
        <v>0</v>
      </c>
      <c r="IZ46" s="13">
        <v>0</v>
      </c>
      <c r="JA46" s="13">
        <v>0</v>
      </c>
      <c r="JB46" s="13">
        <v>0</v>
      </c>
      <c r="JC46" s="13">
        <v>0</v>
      </c>
      <c r="JD46" s="13">
        <v>0</v>
      </c>
      <c r="JE46" s="13">
        <v>0</v>
      </c>
      <c r="JF46" s="13">
        <v>0</v>
      </c>
      <c r="JG46" s="13">
        <v>0</v>
      </c>
      <c r="JH46" s="13">
        <v>0</v>
      </c>
      <c r="JI46" s="13">
        <v>0</v>
      </c>
      <c r="JJ46" s="13">
        <v>0</v>
      </c>
      <c r="JK46" s="13">
        <v>0</v>
      </c>
      <c r="JL46" s="13">
        <v>0</v>
      </c>
      <c r="JM46" s="13">
        <v>0</v>
      </c>
      <c r="JN46" s="13">
        <v>0</v>
      </c>
      <c r="JO46" s="13">
        <v>0</v>
      </c>
      <c r="JP46" s="13">
        <v>0</v>
      </c>
      <c r="JQ46" s="13">
        <v>0</v>
      </c>
      <c r="JR46" s="13">
        <v>0</v>
      </c>
      <c r="JS46" s="13">
        <v>0</v>
      </c>
      <c r="JT46" s="13">
        <v>0</v>
      </c>
      <c r="JU46" s="13">
        <v>0</v>
      </c>
      <c r="JV46" s="13">
        <v>0</v>
      </c>
      <c r="JW46" s="13">
        <v>0</v>
      </c>
      <c r="JX46" s="13">
        <v>0</v>
      </c>
      <c r="JY46" s="13">
        <v>0</v>
      </c>
      <c r="JZ46" s="13">
        <v>0</v>
      </c>
      <c r="KA46" s="13">
        <v>0</v>
      </c>
      <c r="KB46" s="13">
        <v>0</v>
      </c>
      <c r="KC46" s="13">
        <v>0</v>
      </c>
      <c r="KD46" s="13">
        <v>0</v>
      </c>
      <c r="KE46" s="13">
        <v>0</v>
      </c>
      <c r="KF46" s="13">
        <v>0</v>
      </c>
      <c r="KG46" s="13">
        <v>0</v>
      </c>
      <c r="KH46" s="13">
        <v>0</v>
      </c>
      <c r="KI46" s="13">
        <v>0</v>
      </c>
      <c r="KJ46" s="13">
        <v>0</v>
      </c>
      <c r="KK46" s="13">
        <v>0</v>
      </c>
      <c r="KL46" s="13">
        <v>0</v>
      </c>
      <c r="KM46" s="13">
        <v>0</v>
      </c>
      <c r="KN46" s="13">
        <v>0</v>
      </c>
      <c r="KO46" s="13">
        <v>0</v>
      </c>
      <c r="KP46" s="13">
        <v>0</v>
      </c>
      <c r="KQ46" s="13">
        <v>0</v>
      </c>
      <c r="KR46" s="13">
        <v>0</v>
      </c>
      <c r="KS46" s="13">
        <v>0</v>
      </c>
      <c r="KT46" s="13">
        <v>0</v>
      </c>
      <c r="KU46" s="13">
        <v>0</v>
      </c>
      <c r="KV46" s="13">
        <v>0</v>
      </c>
      <c r="KW46" s="13">
        <v>0</v>
      </c>
      <c r="KX46" s="13">
        <v>0</v>
      </c>
      <c r="KY46" s="13">
        <v>0</v>
      </c>
      <c r="KZ46" s="13">
        <v>1</v>
      </c>
      <c r="LA46" s="13">
        <v>0</v>
      </c>
      <c r="LB46" s="13">
        <v>2</v>
      </c>
      <c r="LC46" s="13">
        <v>0</v>
      </c>
      <c r="LD46" s="13">
        <v>3</v>
      </c>
      <c r="LE46" s="13">
        <v>1</v>
      </c>
      <c r="LF46" s="13">
        <v>2</v>
      </c>
      <c r="LG46" s="13">
        <v>1</v>
      </c>
      <c r="LH46" s="13">
        <v>0</v>
      </c>
      <c r="LI46" s="13">
        <v>1</v>
      </c>
      <c r="LJ46" s="13">
        <v>3</v>
      </c>
      <c r="LK46" s="13">
        <v>4</v>
      </c>
      <c r="LL46" s="13">
        <v>4</v>
      </c>
      <c r="LM46" s="13">
        <v>6</v>
      </c>
      <c r="LN46" s="13">
        <v>6</v>
      </c>
      <c r="LO46" s="13">
        <v>1</v>
      </c>
      <c r="LP46" s="13">
        <v>4</v>
      </c>
      <c r="LQ46" s="13">
        <v>5</v>
      </c>
      <c r="LR46" s="13">
        <v>3</v>
      </c>
      <c r="LS46" s="13">
        <v>5</v>
      </c>
      <c r="LT46" s="13">
        <v>6</v>
      </c>
      <c r="LU46" s="13">
        <v>3</v>
      </c>
      <c r="LV46" s="13">
        <v>7</v>
      </c>
      <c r="LW46" s="13">
        <v>9</v>
      </c>
      <c r="LX46" s="13">
        <v>5</v>
      </c>
      <c r="LY46" s="13">
        <v>7</v>
      </c>
      <c r="LZ46" s="13">
        <v>2</v>
      </c>
      <c r="MA46" s="13">
        <v>8</v>
      </c>
      <c r="MB46" s="13">
        <v>11</v>
      </c>
      <c r="MC46" s="13">
        <v>12</v>
      </c>
      <c r="MD46" s="13">
        <v>14</v>
      </c>
      <c r="ME46" s="13">
        <v>10</v>
      </c>
      <c r="MF46" s="13">
        <v>13</v>
      </c>
      <c r="MG46" s="13">
        <v>6</v>
      </c>
      <c r="MH46" s="13">
        <v>10</v>
      </c>
      <c r="MI46" s="13">
        <v>22</v>
      </c>
      <c r="MJ46" s="13">
        <v>17</v>
      </c>
      <c r="MK46" s="13">
        <v>21</v>
      </c>
      <c r="ML46" s="13">
        <v>27</v>
      </c>
      <c r="MM46" s="13">
        <v>28</v>
      </c>
      <c r="MN46" s="13">
        <v>29</v>
      </c>
      <c r="MO46" s="13">
        <v>31</v>
      </c>
      <c r="MP46" s="13">
        <v>37</v>
      </c>
      <c r="MQ46" s="13">
        <v>31</v>
      </c>
      <c r="MR46" s="13">
        <v>42</v>
      </c>
      <c r="MS46" s="13">
        <v>34</v>
      </c>
      <c r="MT46" s="13">
        <v>45</v>
      </c>
      <c r="MU46" s="13">
        <v>41</v>
      </c>
      <c r="MV46" s="13">
        <v>26</v>
      </c>
      <c r="MW46" s="13">
        <v>52</v>
      </c>
      <c r="MX46" s="13">
        <v>68</v>
      </c>
      <c r="MY46" s="13">
        <v>149</v>
      </c>
      <c r="MZ46" s="13">
        <v>96</v>
      </c>
      <c r="NA46" s="13">
        <v>106</v>
      </c>
      <c r="NB46" s="13">
        <v>115</v>
      </c>
      <c r="NC46" s="13">
        <v>108</v>
      </c>
      <c r="ND46" s="13">
        <v>132</v>
      </c>
      <c r="NE46" s="13">
        <v>93</v>
      </c>
      <c r="NF46" s="13">
        <v>100</v>
      </c>
      <c r="NG46" s="13">
        <v>139</v>
      </c>
      <c r="NH46" s="13">
        <v>139</v>
      </c>
      <c r="NI46" s="13">
        <v>116</v>
      </c>
      <c r="NJ46" s="13">
        <v>242</v>
      </c>
      <c r="NK46" s="13">
        <v>94</v>
      </c>
      <c r="NL46" s="13">
        <v>103</v>
      </c>
      <c r="NM46" s="13">
        <v>91</v>
      </c>
      <c r="NN46" s="13">
        <v>81</v>
      </c>
      <c r="NO46" s="13">
        <v>81</v>
      </c>
      <c r="NP46" s="13">
        <v>69</v>
      </c>
      <c r="NQ46" s="13">
        <v>70</v>
      </c>
      <c r="NR46" s="13">
        <v>65</v>
      </c>
      <c r="NS46" s="13">
        <v>64</v>
      </c>
      <c r="NT46" s="13">
        <v>56</v>
      </c>
      <c r="NU46" s="13">
        <v>45</v>
      </c>
      <c r="NV46" s="13">
        <v>45</v>
      </c>
      <c r="NW46" s="13">
        <v>42</v>
      </c>
      <c r="NX46" s="13">
        <v>37</v>
      </c>
      <c r="NY46" s="13">
        <v>25</v>
      </c>
      <c r="NZ46" s="13">
        <v>24</v>
      </c>
      <c r="OA46" s="13">
        <v>24</v>
      </c>
      <c r="OB46" s="13">
        <v>13</v>
      </c>
      <c r="OC46" s="13">
        <v>15</v>
      </c>
      <c r="OD46" s="13">
        <v>7</v>
      </c>
      <c r="OE46" s="13">
        <v>8</v>
      </c>
      <c r="OF46" s="13">
        <v>3</v>
      </c>
      <c r="OG46" s="13">
        <v>2</v>
      </c>
    </row>
    <row r="47" spans="1:397">
      <c r="A47" s="13" t="s">
        <v>43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>
        <v>0</v>
      </c>
      <c r="IF47" s="13">
        <v>0</v>
      </c>
      <c r="IG47" s="13">
        <v>0</v>
      </c>
      <c r="IH47" s="13">
        <v>0</v>
      </c>
      <c r="II47" s="13">
        <v>0</v>
      </c>
      <c r="IJ47" s="13">
        <v>0</v>
      </c>
      <c r="IK47" s="13">
        <v>0</v>
      </c>
      <c r="IL47" s="13">
        <v>0</v>
      </c>
      <c r="IM47" s="13">
        <v>0</v>
      </c>
      <c r="IN47" s="13">
        <v>0</v>
      </c>
      <c r="IO47" s="13">
        <v>0</v>
      </c>
      <c r="IP47" s="13">
        <v>0</v>
      </c>
      <c r="IQ47" s="13">
        <v>0</v>
      </c>
      <c r="IR47" s="13">
        <v>0</v>
      </c>
      <c r="IS47" s="13">
        <v>0</v>
      </c>
      <c r="IT47" s="13">
        <v>0</v>
      </c>
      <c r="IU47" s="13">
        <v>0</v>
      </c>
      <c r="IV47" s="13">
        <v>0</v>
      </c>
      <c r="IW47" s="13">
        <v>0</v>
      </c>
      <c r="IX47" s="13">
        <v>0</v>
      </c>
      <c r="IY47" s="13">
        <v>0</v>
      </c>
      <c r="IZ47" s="13">
        <v>0</v>
      </c>
      <c r="JA47" s="13">
        <v>3</v>
      </c>
      <c r="JB47" s="13">
        <v>0</v>
      </c>
      <c r="JC47" s="13">
        <v>0</v>
      </c>
      <c r="JD47" s="13">
        <v>0</v>
      </c>
      <c r="JE47" s="13">
        <v>0</v>
      </c>
      <c r="JF47" s="13">
        <v>0</v>
      </c>
      <c r="JG47" s="13">
        <v>1</v>
      </c>
      <c r="JH47" s="13">
        <v>1</v>
      </c>
      <c r="JI47" s="13">
        <v>0</v>
      </c>
      <c r="JJ47" s="13">
        <v>1</v>
      </c>
      <c r="JK47" s="13">
        <v>1</v>
      </c>
      <c r="JL47" s="13">
        <v>1</v>
      </c>
      <c r="JM47" s="13">
        <v>0</v>
      </c>
      <c r="JN47" s="13">
        <v>0</v>
      </c>
      <c r="JO47" s="13">
        <v>0</v>
      </c>
      <c r="JP47" s="13">
        <v>0</v>
      </c>
      <c r="JQ47" s="13">
        <v>0</v>
      </c>
      <c r="JR47" s="13">
        <v>0</v>
      </c>
      <c r="JS47" s="13">
        <v>0</v>
      </c>
      <c r="JT47" s="13">
        <v>0</v>
      </c>
      <c r="JU47" s="13">
        <v>0</v>
      </c>
      <c r="JV47" s="13">
        <v>0</v>
      </c>
      <c r="JW47" s="13">
        <v>0</v>
      </c>
      <c r="JX47" s="13">
        <v>0</v>
      </c>
      <c r="JY47" s="13">
        <v>0</v>
      </c>
      <c r="JZ47" s="13">
        <v>0</v>
      </c>
      <c r="KA47" s="13">
        <v>0</v>
      </c>
      <c r="KB47" s="13">
        <v>0</v>
      </c>
      <c r="KC47" s="13">
        <v>0</v>
      </c>
      <c r="KD47" s="13">
        <v>0</v>
      </c>
      <c r="KE47" s="13">
        <v>0</v>
      </c>
      <c r="KF47" s="13">
        <v>0</v>
      </c>
      <c r="KG47" s="13">
        <v>0</v>
      </c>
      <c r="KH47" s="13">
        <v>0</v>
      </c>
      <c r="KI47" s="13">
        <v>0</v>
      </c>
      <c r="KJ47" s="13">
        <v>0</v>
      </c>
      <c r="KK47" s="13">
        <v>0</v>
      </c>
      <c r="KL47" s="13">
        <v>0</v>
      </c>
      <c r="KM47" s="13">
        <v>0</v>
      </c>
      <c r="KN47" s="13">
        <v>12</v>
      </c>
      <c r="KO47" s="13">
        <v>11</v>
      </c>
      <c r="KP47" s="13">
        <v>24</v>
      </c>
      <c r="KQ47" s="13">
        <v>22</v>
      </c>
      <c r="KR47" s="13">
        <v>28</v>
      </c>
      <c r="KS47" s="13">
        <v>5</v>
      </c>
      <c r="KT47" s="13">
        <v>3</v>
      </c>
      <c r="KU47" s="13">
        <v>4</v>
      </c>
      <c r="KV47" s="13">
        <v>13</v>
      </c>
      <c r="KW47" s="13">
        <v>7</v>
      </c>
      <c r="KX47" s="13">
        <v>17</v>
      </c>
      <c r="KY47" s="13">
        <v>33</v>
      </c>
      <c r="KZ47" s="13">
        <v>39</v>
      </c>
      <c r="LA47" s="13">
        <v>25</v>
      </c>
      <c r="LB47" s="13">
        <v>57</v>
      </c>
      <c r="LC47" s="13">
        <v>17</v>
      </c>
      <c r="LD47" s="13">
        <v>28</v>
      </c>
      <c r="LE47" s="13">
        <v>49</v>
      </c>
      <c r="LF47" s="13">
        <v>45</v>
      </c>
      <c r="LG47" s="13">
        <v>69</v>
      </c>
      <c r="LH47" s="13">
        <v>59</v>
      </c>
      <c r="LI47" s="13">
        <v>69</v>
      </c>
      <c r="LJ47" s="13">
        <v>183</v>
      </c>
      <c r="LK47" s="13">
        <v>150</v>
      </c>
      <c r="LL47" s="13">
        <v>141</v>
      </c>
      <c r="LM47" s="13">
        <v>145</v>
      </c>
      <c r="LN47" s="13">
        <v>173</v>
      </c>
      <c r="LO47" s="13">
        <v>271</v>
      </c>
      <c r="LP47" s="13">
        <v>317</v>
      </c>
      <c r="LQ47" s="13">
        <v>467</v>
      </c>
      <c r="LR47" s="13">
        <v>367</v>
      </c>
      <c r="LS47" s="13">
        <v>530</v>
      </c>
      <c r="LT47" s="13">
        <v>391</v>
      </c>
      <c r="LU47" s="13">
        <v>487</v>
      </c>
      <c r="LV47" s="13">
        <v>444</v>
      </c>
      <c r="LW47" s="13">
        <v>447</v>
      </c>
      <c r="LX47" s="13">
        <v>490</v>
      </c>
      <c r="LY47" s="13">
        <v>561</v>
      </c>
      <c r="LZ47" s="13">
        <v>703</v>
      </c>
      <c r="MA47" s="13">
        <v>795</v>
      </c>
      <c r="MB47" s="13">
        <v>896</v>
      </c>
      <c r="MC47" s="13">
        <v>893</v>
      </c>
      <c r="MD47" s="13">
        <v>816</v>
      </c>
      <c r="ME47" s="13">
        <v>1335</v>
      </c>
      <c r="MF47" s="13">
        <v>1390</v>
      </c>
      <c r="MG47" s="13">
        <v>1255</v>
      </c>
      <c r="MH47" s="13">
        <v>1242</v>
      </c>
      <c r="MI47" s="13">
        <v>1471</v>
      </c>
      <c r="MJ47" s="13">
        <v>1152</v>
      </c>
      <c r="MK47" s="13">
        <v>1422</v>
      </c>
      <c r="ML47" s="13">
        <v>1543</v>
      </c>
      <c r="MM47" s="13">
        <v>1502</v>
      </c>
      <c r="MN47" s="13">
        <v>1487</v>
      </c>
      <c r="MO47" s="13">
        <v>1923</v>
      </c>
      <c r="MP47" s="13">
        <v>2389</v>
      </c>
      <c r="MQ47" s="13">
        <v>2410</v>
      </c>
      <c r="MR47" s="13">
        <v>2570</v>
      </c>
      <c r="MS47" s="13">
        <v>2292</v>
      </c>
      <c r="MT47" s="13">
        <v>2492</v>
      </c>
      <c r="MU47" s="13">
        <v>3203</v>
      </c>
      <c r="MV47" s="13">
        <v>2288</v>
      </c>
      <c r="MW47" s="13">
        <v>2058</v>
      </c>
      <c r="MX47" s="13">
        <v>2116</v>
      </c>
      <c r="MY47" s="13">
        <v>1439</v>
      </c>
      <c r="MZ47" s="13">
        <v>1742</v>
      </c>
      <c r="NA47" s="13">
        <v>1767</v>
      </c>
      <c r="NB47" s="13">
        <v>1451</v>
      </c>
      <c r="NC47" s="13">
        <v>1209</v>
      </c>
      <c r="ND47" s="13">
        <v>1266</v>
      </c>
      <c r="NE47" s="13">
        <v>1223</v>
      </c>
      <c r="NF47" s="13">
        <v>1016</v>
      </c>
      <c r="NG47" s="13">
        <v>849</v>
      </c>
      <c r="NH47" s="13">
        <v>912</v>
      </c>
      <c r="NI47" s="13">
        <v>690</v>
      </c>
      <c r="NJ47" s="13">
        <v>802</v>
      </c>
      <c r="NK47" s="13">
        <v>417</v>
      </c>
      <c r="NL47" s="13">
        <v>427</v>
      </c>
      <c r="NM47" s="13">
        <v>356</v>
      </c>
      <c r="NN47" s="13">
        <v>324</v>
      </c>
      <c r="NO47" s="13">
        <v>298</v>
      </c>
      <c r="NP47" s="13">
        <v>184</v>
      </c>
      <c r="NQ47" s="13">
        <v>113</v>
      </c>
      <c r="NR47" s="13">
        <v>125</v>
      </c>
      <c r="NS47" s="13">
        <v>101</v>
      </c>
      <c r="NT47" s="13">
        <v>80</v>
      </c>
      <c r="NU47" s="13">
        <v>49</v>
      </c>
      <c r="NV47" s="13">
        <v>50</v>
      </c>
      <c r="NW47" s="13">
        <v>26</v>
      </c>
      <c r="NX47" s="13">
        <v>10</v>
      </c>
      <c r="NY47" s="13"/>
      <c r="NZ47" s="13"/>
      <c r="OA47" s="13">
        <v>2</v>
      </c>
      <c r="OB47" s="13">
        <v>10</v>
      </c>
      <c r="OC47" s="13">
        <v>1</v>
      </c>
      <c r="OD47" s="13">
        <v>3</v>
      </c>
      <c r="OE47" s="13"/>
      <c r="OF47" s="13">
        <v>3</v>
      </c>
      <c r="OG47" s="13"/>
    </row>
    <row r="48" spans="1:397">
      <c r="A48" s="13" t="s">
        <v>45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>
        <v>68135</v>
      </c>
      <c r="IF48" s="13">
        <v>68135</v>
      </c>
      <c r="IG48" s="13">
        <v>68135</v>
      </c>
      <c r="IH48" s="13">
        <v>68135</v>
      </c>
      <c r="II48" s="13">
        <v>68135</v>
      </c>
      <c r="IJ48" s="13">
        <v>68135</v>
      </c>
      <c r="IK48" s="13">
        <v>68135</v>
      </c>
      <c r="IL48" s="13">
        <v>68135</v>
      </c>
      <c r="IM48" s="13">
        <v>68135</v>
      </c>
      <c r="IN48" s="13">
        <v>68135</v>
      </c>
      <c r="IO48" s="13">
        <v>68135</v>
      </c>
      <c r="IP48" s="13">
        <v>68135</v>
      </c>
      <c r="IQ48" s="13">
        <v>68135</v>
      </c>
      <c r="IR48" s="13">
        <v>68135</v>
      </c>
      <c r="IS48" s="13">
        <v>68135</v>
      </c>
      <c r="IT48" s="13">
        <v>68135</v>
      </c>
      <c r="IU48" s="13">
        <v>68135</v>
      </c>
      <c r="IV48" s="13">
        <v>68135</v>
      </c>
      <c r="IW48" s="13">
        <v>68135</v>
      </c>
      <c r="IX48" s="13">
        <v>68135</v>
      </c>
      <c r="IY48" s="13">
        <v>68135</v>
      </c>
      <c r="IZ48" s="13">
        <v>68135</v>
      </c>
      <c r="JA48" s="13">
        <v>68135</v>
      </c>
      <c r="JB48" s="13">
        <v>68135</v>
      </c>
      <c r="JC48" s="13">
        <v>68135</v>
      </c>
      <c r="JD48" s="13">
        <v>68135</v>
      </c>
      <c r="JE48" s="13">
        <v>68135</v>
      </c>
      <c r="JF48" s="13">
        <v>68135</v>
      </c>
      <c r="JG48" s="13">
        <v>68135</v>
      </c>
      <c r="JH48" s="13">
        <v>68135</v>
      </c>
      <c r="JI48" s="13">
        <v>68135</v>
      </c>
      <c r="JJ48" s="13">
        <v>68135</v>
      </c>
      <c r="JK48" s="13">
        <v>68135</v>
      </c>
      <c r="JL48" s="13">
        <v>68135</v>
      </c>
      <c r="JM48" s="13">
        <v>68135</v>
      </c>
      <c r="JN48" s="13">
        <v>68135</v>
      </c>
      <c r="JO48" s="13">
        <v>68135</v>
      </c>
      <c r="JP48" s="13">
        <v>68135</v>
      </c>
      <c r="JQ48" s="13">
        <v>68135</v>
      </c>
      <c r="JR48" s="13">
        <v>68135</v>
      </c>
      <c r="JS48" s="13">
        <v>68134</v>
      </c>
      <c r="JT48" s="13">
        <v>68134</v>
      </c>
      <c r="JU48" s="13">
        <v>68134</v>
      </c>
      <c r="JV48" s="13">
        <v>68134</v>
      </c>
      <c r="JW48" s="13">
        <v>68134</v>
      </c>
      <c r="JX48" s="13">
        <v>68134</v>
      </c>
      <c r="JY48" s="13">
        <v>68134</v>
      </c>
      <c r="JZ48" s="13">
        <v>68134</v>
      </c>
      <c r="KA48" s="13">
        <v>68129</v>
      </c>
      <c r="KB48" s="13">
        <v>68128</v>
      </c>
      <c r="KC48" s="13">
        <v>68128</v>
      </c>
      <c r="KD48" s="13">
        <v>68128</v>
      </c>
      <c r="KE48" s="13">
        <v>68128</v>
      </c>
      <c r="KF48" s="13">
        <v>68128</v>
      </c>
      <c r="KG48" s="13">
        <v>68128</v>
      </c>
      <c r="KH48" s="13">
        <v>68128</v>
      </c>
      <c r="KI48" s="13">
        <v>68128</v>
      </c>
      <c r="KJ48" s="13">
        <v>68128</v>
      </c>
      <c r="KK48" s="13">
        <v>68128</v>
      </c>
      <c r="KL48" s="13">
        <v>68128</v>
      </c>
      <c r="KM48" s="13">
        <v>68128</v>
      </c>
      <c r="KN48" s="13">
        <v>68128</v>
      </c>
      <c r="KO48" s="13">
        <v>68128</v>
      </c>
      <c r="KP48" s="13">
        <v>68128</v>
      </c>
      <c r="KQ48" s="13">
        <v>68128</v>
      </c>
      <c r="KR48" s="13">
        <v>68128</v>
      </c>
      <c r="KS48" s="13">
        <v>68128</v>
      </c>
      <c r="KT48" s="13">
        <v>68128</v>
      </c>
      <c r="KU48" s="13">
        <v>68128</v>
      </c>
      <c r="KV48" s="13">
        <v>68128</v>
      </c>
      <c r="KW48" s="13">
        <v>68128</v>
      </c>
      <c r="KX48" s="13">
        <v>68128</v>
      </c>
      <c r="KY48" s="13">
        <v>67803</v>
      </c>
      <c r="KZ48" s="13">
        <v>67803</v>
      </c>
      <c r="LA48" s="13">
        <v>67803</v>
      </c>
      <c r="LB48" s="13">
        <v>67803</v>
      </c>
      <c r="LC48" s="13">
        <v>67803</v>
      </c>
      <c r="LD48" s="13">
        <v>67803</v>
      </c>
      <c r="LE48" s="13">
        <v>67803</v>
      </c>
      <c r="LF48" s="13">
        <v>67803</v>
      </c>
      <c r="LG48" s="13">
        <v>67803</v>
      </c>
      <c r="LH48" s="13">
        <v>67803</v>
      </c>
      <c r="LI48" s="13">
        <v>67803</v>
      </c>
      <c r="LJ48" s="13">
        <v>67803</v>
      </c>
      <c r="LK48" s="13">
        <v>67803</v>
      </c>
      <c r="LL48" s="13">
        <v>67802</v>
      </c>
      <c r="LM48" s="13">
        <v>67802</v>
      </c>
      <c r="LN48" s="13">
        <v>67802</v>
      </c>
      <c r="LO48" s="13">
        <v>67801</v>
      </c>
      <c r="LP48" s="13">
        <v>67801</v>
      </c>
      <c r="LQ48" s="13">
        <v>67801</v>
      </c>
      <c r="LR48" s="13">
        <v>67801</v>
      </c>
      <c r="LS48" s="13">
        <v>67801</v>
      </c>
      <c r="LT48" s="13">
        <v>67801</v>
      </c>
      <c r="LU48" s="13">
        <v>67801</v>
      </c>
      <c r="LV48" s="13">
        <v>67801</v>
      </c>
      <c r="LW48" s="13">
        <v>67800</v>
      </c>
      <c r="LX48" s="13">
        <v>67800</v>
      </c>
      <c r="LY48" s="13">
        <v>67800</v>
      </c>
      <c r="LZ48" s="13">
        <v>67800</v>
      </c>
      <c r="MA48" s="13">
        <v>67800</v>
      </c>
      <c r="MB48" s="13">
        <v>67800</v>
      </c>
      <c r="MC48" s="13">
        <v>67799</v>
      </c>
      <c r="MD48" s="13">
        <v>67798</v>
      </c>
      <c r="ME48" s="13">
        <v>67794</v>
      </c>
      <c r="MF48" s="13">
        <v>67790</v>
      </c>
      <c r="MG48" s="13">
        <v>67786</v>
      </c>
      <c r="MH48" s="13">
        <v>67781</v>
      </c>
      <c r="MI48" s="13">
        <v>67773</v>
      </c>
      <c r="MJ48" s="13">
        <v>67760</v>
      </c>
      <c r="MK48" s="13">
        <v>67743</v>
      </c>
      <c r="ML48" s="13">
        <v>67707</v>
      </c>
      <c r="MM48" s="13">
        <v>67666</v>
      </c>
      <c r="MN48" s="13">
        <v>67592</v>
      </c>
      <c r="MO48" s="13">
        <v>67466</v>
      </c>
      <c r="MP48" s="13">
        <v>67332</v>
      </c>
      <c r="MQ48" s="13">
        <v>67217</v>
      </c>
      <c r="MR48" s="13">
        <v>67103</v>
      </c>
      <c r="MS48" s="13">
        <v>66907</v>
      </c>
      <c r="MT48" s="13">
        <v>66337</v>
      </c>
      <c r="MU48" s="13">
        <v>65914</v>
      </c>
      <c r="MV48" s="13">
        <v>65596</v>
      </c>
      <c r="MW48" s="13">
        <v>65187</v>
      </c>
      <c r="MX48" s="13">
        <v>64786</v>
      </c>
      <c r="MY48" s="13">
        <v>64287</v>
      </c>
      <c r="MZ48" s="13">
        <v>64084</v>
      </c>
      <c r="NA48" s="13">
        <v>63454</v>
      </c>
      <c r="NB48" s="13">
        <v>63088</v>
      </c>
      <c r="NC48" s="13">
        <v>62457</v>
      </c>
      <c r="ND48" s="13">
        <v>61682</v>
      </c>
      <c r="NE48" s="13">
        <v>59989</v>
      </c>
      <c r="NF48" s="13">
        <v>58182</v>
      </c>
      <c r="NG48" s="13">
        <v>56249</v>
      </c>
      <c r="NH48" s="13">
        <v>54406</v>
      </c>
      <c r="NI48" s="13">
        <v>51986</v>
      </c>
      <c r="NJ48" s="13">
        <v>48206</v>
      </c>
      <c r="NK48" s="13">
        <v>33366</v>
      </c>
      <c r="NL48" s="13">
        <v>31728</v>
      </c>
      <c r="NM48" s="13">
        <v>29631</v>
      </c>
      <c r="NN48" s="13">
        <v>27100</v>
      </c>
      <c r="NO48" s="13">
        <v>24953</v>
      </c>
      <c r="NP48" s="13">
        <v>22112</v>
      </c>
      <c r="NQ48" s="13">
        <v>19665</v>
      </c>
      <c r="NR48" s="13">
        <v>16678</v>
      </c>
      <c r="NS48" s="13">
        <v>13522</v>
      </c>
      <c r="NT48" s="13">
        <v>11177</v>
      </c>
      <c r="NU48" s="13">
        <v>9074</v>
      </c>
      <c r="NV48" s="13">
        <v>7153</v>
      </c>
      <c r="NW48" s="13">
        <v>5806</v>
      </c>
      <c r="NX48" s="13">
        <v>4586</v>
      </c>
      <c r="NY48" s="13">
        <v>3554</v>
      </c>
      <c r="NZ48" s="13">
        <v>2714</v>
      </c>
      <c r="OA48" s="13">
        <v>1423</v>
      </c>
      <c r="OB48" s="13">
        <v>1052</v>
      </c>
      <c r="OC48" s="13">
        <v>729</v>
      </c>
      <c r="OD48" s="13">
        <v>549</v>
      </c>
      <c r="OE48" s="13">
        <v>444</v>
      </c>
      <c r="OF48" s="13">
        <v>375</v>
      </c>
      <c r="OG48" s="13">
        <v>270</v>
      </c>
    </row>
    <row r="49" spans="1:397">
      <c r="A49" s="13" t="s">
        <v>46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>
        <v>63623</v>
      </c>
      <c r="IF49" s="13">
        <v>63623</v>
      </c>
      <c r="IG49" s="13">
        <v>63623</v>
      </c>
      <c r="IH49" s="13">
        <v>63623</v>
      </c>
      <c r="II49" s="13">
        <v>63623</v>
      </c>
      <c r="IJ49" s="13">
        <v>63623</v>
      </c>
      <c r="IK49" s="13">
        <v>63623</v>
      </c>
      <c r="IL49" s="13">
        <v>63623</v>
      </c>
      <c r="IM49" s="13">
        <v>63623</v>
      </c>
      <c r="IN49" s="13">
        <v>63623</v>
      </c>
      <c r="IO49" s="13">
        <v>63623</v>
      </c>
      <c r="IP49" s="13">
        <v>63623</v>
      </c>
      <c r="IQ49" s="13">
        <v>63623</v>
      </c>
      <c r="IR49" s="13">
        <v>63623</v>
      </c>
      <c r="IS49" s="13">
        <v>63623</v>
      </c>
      <c r="IT49" s="13">
        <v>63623</v>
      </c>
      <c r="IU49" s="13">
        <v>63623</v>
      </c>
      <c r="IV49" s="13">
        <v>63623</v>
      </c>
      <c r="IW49" s="13">
        <v>63623</v>
      </c>
      <c r="IX49" s="13">
        <v>63623</v>
      </c>
      <c r="IY49" s="13">
        <v>63623</v>
      </c>
      <c r="IZ49" s="13">
        <v>63620</v>
      </c>
      <c r="JA49" s="13">
        <v>63620</v>
      </c>
      <c r="JB49" s="13">
        <v>63620</v>
      </c>
      <c r="JC49" s="13">
        <v>63620</v>
      </c>
      <c r="JD49" s="13">
        <v>63620</v>
      </c>
      <c r="JE49" s="13">
        <v>63620</v>
      </c>
      <c r="JF49" s="13">
        <v>63619</v>
      </c>
      <c r="JG49" s="13">
        <v>63619</v>
      </c>
      <c r="JH49" s="13">
        <v>63617</v>
      </c>
      <c r="JI49" s="13">
        <v>63617</v>
      </c>
      <c r="JJ49" s="13">
        <v>63617</v>
      </c>
      <c r="JK49" s="13">
        <v>63617</v>
      </c>
      <c r="JL49" s="13">
        <v>63617</v>
      </c>
      <c r="JM49" s="13">
        <v>63616</v>
      </c>
      <c r="JN49" s="13">
        <v>63616</v>
      </c>
      <c r="JO49" s="13">
        <v>63616</v>
      </c>
      <c r="JP49" s="13">
        <v>63616</v>
      </c>
      <c r="JQ49" s="13">
        <v>63616</v>
      </c>
      <c r="JR49" s="13">
        <v>63616</v>
      </c>
      <c r="JS49" s="13">
        <v>63616</v>
      </c>
      <c r="JT49" s="13">
        <v>63616</v>
      </c>
      <c r="JU49" s="13">
        <v>63616</v>
      </c>
      <c r="JV49" s="13">
        <v>63616</v>
      </c>
      <c r="JW49" s="13">
        <v>63616</v>
      </c>
      <c r="JX49" s="13">
        <v>63616</v>
      </c>
      <c r="JY49" s="13">
        <v>63616</v>
      </c>
      <c r="JZ49" s="13">
        <v>63616</v>
      </c>
      <c r="KA49" s="13">
        <v>63616</v>
      </c>
      <c r="KB49" s="13">
        <v>63616</v>
      </c>
      <c r="KC49" s="13">
        <v>63616</v>
      </c>
      <c r="KD49" s="13">
        <v>63616</v>
      </c>
      <c r="KE49" s="13">
        <v>63616</v>
      </c>
      <c r="KF49" s="13">
        <v>63616</v>
      </c>
      <c r="KG49" s="13">
        <v>63616</v>
      </c>
      <c r="KH49" s="13">
        <v>63616</v>
      </c>
      <c r="KI49" s="13">
        <v>63616</v>
      </c>
      <c r="KJ49" s="13">
        <v>63616</v>
      </c>
      <c r="KK49" s="13">
        <v>63616</v>
      </c>
      <c r="KL49" s="13">
        <v>63616</v>
      </c>
      <c r="KM49" s="13">
        <v>63616</v>
      </c>
      <c r="KN49" s="13">
        <v>63616</v>
      </c>
      <c r="KO49" s="13">
        <v>63604</v>
      </c>
      <c r="KP49" s="13">
        <v>63593</v>
      </c>
      <c r="KQ49" s="13">
        <v>63569</v>
      </c>
      <c r="KR49" s="13">
        <v>63547</v>
      </c>
      <c r="KS49" s="13">
        <v>63519</v>
      </c>
      <c r="KT49" s="13">
        <v>63514</v>
      </c>
      <c r="KU49" s="13">
        <v>63511</v>
      </c>
      <c r="KV49" s="13">
        <v>63507</v>
      </c>
      <c r="KW49" s="13">
        <v>63494</v>
      </c>
      <c r="KX49" s="13">
        <v>63487</v>
      </c>
      <c r="KY49" s="13">
        <v>64435</v>
      </c>
      <c r="KZ49" s="13">
        <v>64402</v>
      </c>
      <c r="LA49" s="13">
        <v>64363</v>
      </c>
      <c r="LB49" s="13">
        <v>64338</v>
      </c>
      <c r="LC49" s="13">
        <v>64281</v>
      </c>
      <c r="LD49" s="13">
        <v>64264</v>
      </c>
      <c r="LE49" s="13">
        <v>64236</v>
      </c>
      <c r="LF49" s="13">
        <v>64187</v>
      </c>
      <c r="LG49" s="13">
        <v>64142</v>
      </c>
      <c r="LH49" s="13">
        <v>64073</v>
      </c>
      <c r="LI49" s="13">
        <v>64014</v>
      </c>
      <c r="LJ49" s="13">
        <v>63945</v>
      </c>
      <c r="LK49" s="13">
        <v>63762</v>
      </c>
      <c r="LL49" s="13">
        <v>63612</v>
      </c>
      <c r="LM49" s="13">
        <v>63471</v>
      </c>
      <c r="LN49" s="13">
        <v>63326</v>
      </c>
      <c r="LO49" s="13">
        <v>63153</v>
      </c>
      <c r="LP49" s="13">
        <v>62882</v>
      </c>
      <c r="LQ49" s="13">
        <v>62565</v>
      </c>
      <c r="LR49" s="13">
        <v>62098</v>
      </c>
      <c r="LS49" s="13">
        <v>61731</v>
      </c>
      <c r="LT49" s="13">
        <v>61201</v>
      </c>
      <c r="LU49" s="13">
        <v>60810</v>
      </c>
      <c r="LV49" s="13">
        <v>60323</v>
      </c>
      <c r="LW49" s="13">
        <v>59879</v>
      </c>
      <c r="LX49" s="13">
        <v>59432</v>
      </c>
      <c r="LY49" s="13">
        <v>58942</v>
      </c>
      <c r="LZ49" s="13">
        <v>58381</v>
      </c>
      <c r="MA49" s="13">
        <v>57678</v>
      </c>
      <c r="MB49" s="13">
        <v>56883</v>
      </c>
      <c r="MC49" s="13">
        <v>55987</v>
      </c>
      <c r="MD49" s="13">
        <v>55094</v>
      </c>
      <c r="ME49" s="13">
        <v>54278</v>
      </c>
      <c r="MF49" s="13">
        <v>52943</v>
      </c>
      <c r="MG49" s="13">
        <v>51553</v>
      </c>
      <c r="MH49" s="13">
        <v>50298</v>
      </c>
      <c r="MI49" s="13">
        <v>49056</v>
      </c>
      <c r="MJ49" s="13">
        <v>47585</v>
      </c>
      <c r="MK49" s="13">
        <v>46433</v>
      </c>
      <c r="ML49" s="13">
        <v>45011</v>
      </c>
      <c r="MM49" s="13">
        <v>43468</v>
      </c>
      <c r="MN49" s="13">
        <v>41966</v>
      </c>
      <c r="MO49" s="13">
        <v>40479</v>
      </c>
      <c r="MP49" s="13">
        <v>38556</v>
      </c>
      <c r="MQ49" s="13">
        <v>36167</v>
      </c>
      <c r="MR49" s="13">
        <v>33757</v>
      </c>
      <c r="MS49" s="13">
        <v>31187</v>
      </c>
      <c r="MT49" s="13">
        <v>28895</v>
      </c>
      <c r="MU49" s="13">
        <v>26403</v>
      </c>
      <c r="MV49" s="13">
        <v>23200</v>
      </c>
      <c r="MW49" s="13">
        <v>20912</v>
      </c>
      <c r="MX49" s="13">
        <v>18854</v>
      </c>
      <c r="MY49" s="13">
        <v>16738</v>
      </c>
      <c r="MZ49" s="13">
        <v>15299</v>
      </c>
      <c r="NA49" s="13">
        <v>13557</v>
      </c>
      <c r="NB49" s="13">
        <v>11788</v>
      </c>
      <c r="NC49" s="13">
        <v>10337</v>
      </c>
      <c r="ND49" s="13">
        <v>9128</v>
      </c>
      <c r="NE49" s="13">
        <v>7862</v>
      </c>
      <c r="NF49" s="13">
        <v>6639</v>
      </c>
      <c r="NG49" s="13">
        <v>5623</v>
      </c>
      <c r="NH49" s="13">
        <v>4774</v>
      </c>
      <c r="NI49" s="13">
        <v>3862</v>
      </c>
      <c r="NJ49" s="13">
        <v>3441</v>
      </c>
      <c r="NK49" s="13">
        <v>2639</v>
      </c>
      <c r="NL49" s="13">
        <v>2222</v>
      </c>
      <c r="NM49" s="13">
        <v>1795</v>
      </c>
      <c r="NN49" s="13">
        <v>1439</v>
      </c>
      <c r="NO49" s="13">
        <v>1115</v>
      </c>
      <c r="NP49" s="13">
        <v>817</v>
      </c>
      <c r="NQ49" s="13">
        <v>633</v>
      </c>
      <c r="NR49" s="13">
        <v>520</v>
      </c>
      <c r="NS49" s="13">
        <v>396</v>
      </c>
      <c r="NT49" s="13">
        <v>295</v>
      </c>
      <c r="NU49" s="13">
        <v>215</v>
      </c>
      <c r="NV49" s="13">
        <v>166</v>
      </c>
      <c r="NW49" s="13">
        <v>116</v>
      </c>
      <c r="NX49" s="13">
        <v>90</v>
      </c>
      <c r="NY49" s="13">
        <v>80</v>
      </c>
      <c r="NZ49" s="13">
        <v>47</v>
      </c>
      <c r="OA49" s="13">
        <v>44</v>
      </c>
      <c r="OB49" s="13">
        <v>42</v>
      </c>
      <c r="OC49" s="13">
        <v>32</v>
      </c>
      <c r="OD49" s="13">
        <v>31</v>
      </c>
      <c r="OE49" s="13">
        <v>28</v>
      </c>
      <c r="OF49" s="13">
        <v>28</v>
      </c>
      <c r="OG49" s="13">
        <v>25</v>
      </c>
    </row>
    <row r="50" spans="1:397">
      <c r="A50" s="13" t="s">
        <v>56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>
        <v>4512</v>
      </c>
      <c r="IF50" s="13">
        <v>4512</v>
      </c>
      <c r="IG50" s="13">
        <v>4512</v>
      </c>
      <c r="IH50" s="13">
        <v>4512</v>
      </c>
      <c r="II50" s="13">
        <v>4512</v>
      </c>
      <c r="IJ50" s="13">
        <v>4512</v>
      </c>
      <c r="IK50" s="13">
        <v>4512</v>
      </c>
      <c r="IL50" s="13">
        <v>4512</v>
      </c>
      <c r="IM50" s="13">
        <v>4512</v>
      </c>
      <c r="IN50" s="13">
        <v>4512</v>
      </c>
      <c r="IO50" s="13">
        <v>4512</v>
      </c>
      <c r="IP50" s="13">
        <v>4512</v>
      </c>
      <c r="IQ50" s="13">
        <v>4512</v>
      </c>
      <c r="IR50" s="13">
        <v>4512</v>
      </c>
      <c r="IS50" s="13">
        <v>4512</v>
      </c>
      <c r="IT50" s="13">
        <v>4512</v>
      </c>
      <c r="IU50" s="13">
        <v>4512</v>
      </c>
      <c r="IV50" s="13">
        <v>4512</v>
      </c>
      <c r="IW50" s="13">
        <v>4512</v>
      </c>
      <c r="IX50" s="13">
        <v>4512</v>
      </c>
      <c r="IY50" s="13">
        <v>4512</v>
      </c>
      <c r="IZ50" s="13">
        <v>4512</v>
      </c>
      <c r="JA50" s="13">
        <v>4512</v>
      </c>
      <c r="JB50" s="13">
        <v>4512</v>
      </c>
      <c r="JC50" s="13">
        <v>4512</v>
      </c>
      <c r="JD50" s="13">
        <v>4512</v>
      </c>
      <c r="JE50" s="13">
        <v>4512</v>
      </c>
      <c r="JF50" s="13">
        <v>4512</v>
      </c>
      <c r="JG50" s="13">
        <v>4512</v>
      </c>
      <c r="JH50" s="13">
        <v>4512</v>
      </c>
      <c r="JI50" s="13">
        <v>4512</v>
      </c>
      <c r="JJ50" s="13">
        <v>4512</v>
      </c>
      <c r="JK50" s="13">
        <v>4512</v>
      </c>
      <c r="JL50" s="13">
        <v>4512</v>
      </c>
      <c r="JM50" s="13">
        <v>4512</v>
      </c>
      <c r="JN50" s="13">
        <v>4512</v>
      </c>
      <c r="JO50" s="13">
        <v>4512</v>
      </c>
      <c r="JP50" s="13">
        <v>4512</v>
      </c>
      <c r="JQ50" s="13">
        <v>4512</v>
      </c>
      <c r="JR50" s="13">
        <v>4512</v>
      </c>
      <c r="JS50" s="13">
        <v>4512</v>
      </c>
      <c r="JT50" s="13">
        <v>4512</v>
      </c>
      <c r="JU50" s="13">
        <v>4512</v>
      </c>
      <c r="JV50" s="13">
        <v>4512</v>
      </c>
      <c r="JW50" s="13">
        <v>4512</v>
      </c>
      <c r="JX50" s="13">
        <v>4512</v>
      </c>
      <c r="JY50" s="13">
        <v>4512</v>
      </c>
      <c r="JZ50" s="13">
        <v>4512</v>
      </c>
      <c r="KA50" s="13">
        <v>4512</v>
      </c>
      <c r="KB50" s="13">
        <v>4512</v>
      </c>
      <c r="KC50" s="13">
        <v>4512</v>
      </c>
      <c r="KD50" s="13">
        <v>4512</v>
      </c>
      <c r="KE50" s="13">
        <v>4512</v>
      </c>
      <c r="KF50" s="13">
        <v>4512</v>
      </c>
      <c r="KG50" s="13">
        <v>4512</v>
      </c>
      <c r="KH50" s="13">
        <v>4512</v>
      </c>
      <c r="KI50" s="13">
        <v>4512</v>
      </c>
      <c r="KJ50" s="13">
        <v>4512</v>
      </c>
      <c r="KK50" s="13">
        <v>4512</v>
      </c>
      <c r="KL50" s="13">
        <v>4512</v>
      </c>
      <c r="KM50" s="13">
        <v>4512</v>
      </c>
      <c r="KN50" s="13">
        <v>4512</v>
      </c>
      <c r="KO50" s="13">
        <v>4512</v>
      </c>
      <c r="KP50" s="13">
        <v>4512</v>
      </c>
      <c r="KQ50" s="13">
        <v>4512</v>
      </c>
      <c r="KR50" s="13">
        <v>4512</v>
      </c>
      <c r="KS50" s="13">
        <v>4512</v>
      </c>
      <c r="KT50" s="13">
        <v>4512</v>
      </c>
      <c r="KU50" s="13">
        <v>4512</v>
      </c>
      <c r="KV50" s="13">
        <v>4512</v>
      </c>
      <c r="KW50" s="13">
        <v>4512</v>
      </c>
      <c r="KX50" s="13">
        <v>4512</v>
      </c>
      <c r="KY50" s="13">
        <v>3222</v>
      </c>
      <c r="KZ50" s="13">
        <v>3222</v>
      </c>
      <c r="LA50" s="13">
        <v>3221</v>
      </c>
      <c r="LB50" s="13">
        <v>3221</v>
      </c>
      <c r="LC50" s="13">
        <v>3219</v>
      </c>
      <c r="LD50" s="13">
        <v>3219</v>
      </c>
      <c r="LE50" s="13">
        <v>3216</v>
      </c>
      <c r="LF50" s="13">
        <v>3215</v>
      </c>
      <c r="LG50" s="13">
        <v>3213</v>
      </c>
      <c r="LH50" s="13">
        <v>3212</v>
      </c>
      <c r="LI50" s="13">
        <v>3212</v>
      </c>
      <c r="LJ50" s="13">
        <v>3210</v>
      </c>
      <c r="LK50" s="13">
        <v>3207</v>
      </c>
      <c r="LL50" s="13">
        <v>3203</v>
      </c>
      <c r="LM50" s="13">
        <v>3199</v>
      </c>
      <c r="LN50" s="13">
        <v>3193</v>
      </c>
      <c r="LO50" s="13">
        <v>3187</v>
      </c>
      <c r="LP50" s="13">
        <v>3186</v>
      </c>
      <c r="LQ50" s="13">
        <v>3182</v>
      </c>
      <c r="LR50" s="13">
        <v>3177</v>
      </c>
      <c r="LS50" s="13">
        <v>3174</v>
      </c>
      <c r="LT50" s="13">
        <v>3169</v>
      </c>
      <c r="LU50" s="13">
        <v>3163</v>
      </c>
      <c r="LV50" s="13">
        <v>3160</v>
      </c>
      <c r="LW50" s="13">
        <v>3153</v>
      </c>
      <c r="LX50" s="13">
        <v>3144</v>
      </c>
      <c r="LY50" s="13">
        <v>3139</v>
      </c>
      <c r="LZ50" s="13">
        <v>3132</v>
      </c>
      <c r="MA50" s="13">
        <v>3130</v>
      </c>
      <c r="MB50" s="13">
        <v>3122</v>
      </c>
      <c r="MC50" s="13">
        <v>3111</v>
      </c>
      <c r="MD50" s="13">
        <v>3099</v>
      </c>
      <c r="ME50" s="13">
        <v>3085</v>
      </c>
      <c r="MF50" s="13">
        <v>3075</v>
      </c>
      <c r="MG50" s="13">
        <v>3062</v>
      </c>
      <c r="MH50" s="13">
        <v>3056</v>
      </c>
      <c r="MI50" s="13">
        <v>3046</v>
      </c>
      <c r="MJ50" s="13">
        <v>3024</v>
      </c>
      <c r="MK50" s="13">
        <v>3007</v>
      </c>
      <c r="ML50" s="13">
        <v>2986</v>
      </c>
      <c r="MM50" s="13">
        <v>2959</v>
      </c>
      <c r="MN50" s="13">
        <v>2931</v>
      </c>
      <c r="MO50" s="13">
        <v>2902</v>
      </c>
      <c r="MP50" s="13">
        <v>2871</v>
      </c>
      <c r="MQ50" s="13">
        <v>2834</v>
      </c>
      <c r="MR50" s="13">
        <v>2803</v>
      </c>
      <c r="MS50" s="13">
        <v>2761</v>
      </c>
      <c r="MT50" s="13">
        <v>2727</v>
      </c>
      <c r="MU50" s="13">
        <v>2682</v>
      </c>
      <c r="MV50" s="13">
        <v>2641</v>
      </c>
      <c r="MW50" s="13">
        <v>2615</v>
      </c>
      <c r="MX50" s="13">
        <v>2563</v>
      </c>
      <c r="MY50" s="13">
        <v>2495</v>
      </c>
      <c r="MZ50" s="13">
        <v>2346</v>
      </c>
      <c r="NA50" s="13">
        <v>2250</v>
      </c>
      <c r="NB50" s="13">
        <v>2144</v>
      </c>
      <c r="NC50" s="18">
        <v>2029</v>
      </c>
      <c r="ND50" s="13">
        <v>1921</v>
      </c>
      <c r="NE50" s="13">
        <v>1789</v>
      </c>
      <c r="NF50" s="13">
        <v>1696</v>
      </c>
      <c r="NG50" s="13">
        <v>1596</v>
      </c>
      <c r="NH50" s="13">
        <v>1457</v>
      </c>
      <c r="NI50" s="13">
        <v>1318</v>
      </c>
      <c r="NJ50" s="13">
        <v>1310</v>
      </c>
      <c r="NK50" s="13">
        <v>1068</v>
      </c>
      <c r="NL50" s="13">
        <v>974</v>
      </c>
      <c r="NM50" s="13">
        <v>871</v>
      </c>
      <c r="NN50" s="13">
        <v>780</v>
      </c>
      <c r="NO50" s="13">
        <v>699</v>
      </c>
      <c r="NP50" s="13">
        <v>618</v>
      </c>
      <c r="NQ50" s="13">
        <v>549</v>
      </c>
      <c r="NR50" s="13">
        <v>479</v>
      </c>
      <c r="NS50" s="13">
        <v>414</v>
      </c>
      <c r="NT50" s="13">
        <v>350</v>
      </c>
      <c r="NU50" s="13">
        <v>294</v>
      </c>
      <c r="NV50" s="13">
        <v>249</v>
      </c>
      <c r="NW50" s="13">
        <v>204</v>
      </c>
      <c r="NX50" s="13">
        <v>162</v>
      </c>
      <c r="NY50" s="13">
        <v>125</v>
      </c>
      <c r="NZ50" s="13">
        <v>100</v>
      </c>
      <c r="OA50" s="13">
        <v>76</v>
      </c>
      <c r="OB50" s="13">
        <v>52</v>
      </c>
      <c r="OC50" s="13">
        <v>39</v>
      </c>
      <c r="OD50" s="13">
        <v>24</v>
      </c>
      <c r="OE50" s="13">
        <v>17</v>
      </c>
      <c r="OF50" s="13">
        <v>9</v>
      </c>
      <c r="OG50" s="13">
        <v>6</v>
      </c>
    </row>
    <row r="51" spans="1:397">
      <c r="A51" s="13" t="s">
        <v>47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>
        <v>0</v>
      </c>
      <c r="IF51" s="13">
        <v>0</v>
      </c>
      <c r="IG51" s="13">
        <v>0</v>
      </c>
      <c r="IH51" s="13">
        <v>0</v>
      </c>
      <c r="II51" s="13">
        <v>0</v>
      </c>
      <c r="IJ51" s="13">
        <v>0</v>
      </c>
      <c r="IK51" s="13">
        <v>0</v>
      </c>
      <c r="IL51" s="13">
        <v>0</v>
      </c>
      <c r="IM51" s="13">
        <v>0</v>
      </c>
      <c r="IN51" s="13">
        <v>0</v>
      </c>
      <c r="IO51" s="13">
        <v>0</v>
      </c>
      <c r="IP51" s="13">
        <v>0</v>
      </c>
      <c r="IQ51" s="13">
        <v>0</v>
      </c>
      <c r="IR51" s="13">
        <v>0</v>
      </c>
      <c r="IS51" s="13">
        <v>0</v>
      </c>
      <c r="IT51" s="13">
        <v>0</v>
      </c>
      <c r="IU51" s="13">
        <v>0</v>
      </c>
      <c r="IV51" s="13">
        <v>0</v>
      </c>
      <c r="IW51" s="13">
        <v>0</v>
      </c>
      <c r="IX51" s="13">
        <v>0</v>
      </c>
      <c r="IY51" s="13">
        <v>0</v>
      </c>
      <c r="IZ51" s="13">
        <v>0</v>
      </c>
      <c r="JA51" s="13">
        <v>0</v>
      </c>
      <c r="JB51" s="13">
        <v>3</v>
      </c>
      <c r="JC51" s="13">
        <v>3</v>
      </c>
      <c r="JD51" s="13">
        <v>3</v>
      </c>
      <c r="JE51" s="13">
        <v>3</v>
      </c>
      <c r="JF51" s="13">
        <v>4</v>
      </c>
      <c r="JG51" s="13">
        <v>4</v>
      </c>
      <c r="JH51" s="13">
        <v>5</v>
      </c>
      <c r="JI51" s="13">
        <v>6</v>
      </c>
      <c r="JJ51" s="13">
        <v>6</v>
      </c>
      <c r="JK51" s="13">
        <v>6</v>
      </c>
      <c r="JL51" s="13">
        <v>6</v>
      </c>
      <c r="JM51" s="13">
        <v>7</v>
      </c>
      <c r="JN51" s="13">
        <v>7</v>
      </c>
      <c r="JO51" s="13">
        <v>7</v>
      </c>
      <c r="JP51" s="13">
        <v>7</v>
      </c>
      <c r="JQ51" s="13">
        <v>7</v>
      </c>
      <c r="JR51" s="13">
        <v>7</v>
      </c>
      <c r="JS51" s="13">
        <v>6</v>
      </c>
      <c r="JT51" s="13">
        <v>6</v>
      </c>
      <c r="JU51" s="13">
        <v>6</v>
      </c>
      <c r="JV51" s="13">
        <v>6</v>
      </c>
      <c r="JW51" s="13">
        <v>6</v>
      </c>
      <c r="JX51" s="13">
        <v>6</v>
      </c>
      <c r="JY51" s="13">
        <v>6</v>
      </c>
      <c r="JZ51" s="13">
        <v>6</v>
      </c>
      <c r="KA51" s="13">
        <v>1</v>
      </c>
      <c r="KB51" s="13">
        <v>0</v>
      </c>
      <c r="KC51" s="13">
        <v>0</v>
      </c>
      <c r="KD51" s="13">
        <v>0</v>
      </c>
      <c r="KE51" s="13">
        <v>0</v>
      </c>
      <c r="KF51" s="13">
        <v>0</v>
      </c>
      <c r="KG51" s="13">
        <v>0</v>
      </c>
      <c r="KH51" s="13">
        <v>0</v>
      </c>
      <c r="KI51" s="13">
        <v>0</v>
      </c>
      <c r="KJ51" s="13">
        <v>0</v>
      </c>
      <c r="KK51" s="13">
        <v>0</v>
      </c>
      <c r="KL51" s="13">
        <v>0</v>
      </c>
      <c r="KM51" s="13">
        <v>0</v>
      </c>
      <c r="KN51" s="13">
        <v>0</v>
      </c>
      <c r="KO51" s="13">
        <v>12</v>
      </c>
      <c r="KP51" s="13">
        <v>23</v>
      </c>
      <c r="KQ51" s="13">
        <v>47</v>
      </c>
      <c r="KR51" s="13">
        <v>69</v>
      </c>
      <c r="KS51" s="13">
        <v>97</v>
      </c>
      <c r="KT51" s="13">
        <v>102</v>
      </c>
      <c r="KU51" s="13">
        <v>105</v>
      </c>
      <c r="KV51" s="13">
        <v>109</v>
      </c>
      <c r="KW51" s="13">
        <v>122</v>
      </c>
      <c r="KX51" s="13">
        <v>129</v>
      </c>
      <c r="KY51" s="13">
        <v>146</v>
      </c>
      <c r="KZ51" s="13">
        <v>179</v>
      </c>
      <c r="LA51" s="13">
        <v>219</v>
      </c>
      <c r="LB51" s="13">
        <v>244</v>
      </c>
      <c r="LC51" s="13">
        <v>303</v>
      </c>
      <c r="LD51" s="13">
        <v>320</v>
      </c>
      <c r="LE51" s="13">
        <v>351</v>
      </c>
      <c r="LF51" s="13">
        <v>401</v>
      </c>
      <c r="LG51" s="13">
        <v>448</v>
      </c>
      <c r="LH51" s="13">
        <v>518</v>
      </c>
      <c r="LI51" s="13">
        <v>577</v>
      </c>
      <c r="LJ51" s="13">
        <v>648</v>
      </c>
      <c r="LK51" s="13">
        <v>834</v>
      </c>
      <c r="LL51" s="13">
        <v>987</v>
      </c>
      <c r="LM51" s="13">
        <v>1132</v>
      </c>
      <c r="LN51" s="13">
        <v>1283</v>
      </c>
      <c r="LO51" s="13">
        <v>1461</v>
      </c>
      <c r="LP51" s="13">
        <v>1733</v>
      </c>
      <c r="LQ51" s="13">
        <v>2054</v>
      </c>
      <c r="LR51" s="13">
        <v>2526</v>
      </c>
      <c r="LS51" s="13">
        <v>2896</v>
      </c>
      <c r="LT51" s="13">
        <v>3431</v>
      </c>
      <c r="LU51" s="13">
        <v>3828</v>
      </c>
      <c r="LV51" s="13">
        <v>4318</v>
      </c>
      <c r="LW51" s="13">
        <v>4768</v>
      </c>
      <c r="LX51" s="13">
        <v>5224</v>
      </c>
      <c r="LY51" s="13">
        <v>5719</v>
      </c>
      <c r="LZ51" s="13">
        <v>6287</v>
      </c>
      <c r="MA51" s="13">
        <v>6992</v>
      </c>
      <c r="MB51" s="13">
        <v>7795</v>
      </c>
      <c r="MC51" s="13">
        <v>8701</v>
      </c>
      <c r="MD51" s="13">
        <v>9605</v>
      </c>
      <c r="ME51" s="13">
        <v>10431</v>
      </c>
      <c r="MF51" s="13">
        <v>11772</v>
      </c>
      <c r="MG51" s="13">
        <v>13171</v>
      </c>
      <c r="MH51" s="13">
        <v>14427</v>
      </c>
      <c r="MI51" s="13">
        <v>15671</v>
      </c>
      <c r="MJ51" s="13">
        <v>17151</v>
      </c>
      <c r="MK51" s="13">
        <v>18303</v>
      </c>
      <c r="ML51" s="13">
        <v>19710</v>
      </c>
      <c r="MM51" s="13">
        <v>21239</v>
      </c>
      <c r="MN51" s="13">
        <v>22695</v>
      </c>
      <c r="MO51" s="13">
        <v>24085</v>
      </c>
      <c r="MP51" s="13">
        <v>25905</v>
      </c>
      <c r="MQ51" s="13">
        <v>28216</v>
      </c>
      <c r="MR51" s="13">
        <v>30543</v>
      </c>
      <c r="MS51" s="13">
        <v>32959</v>
      </c>
      <c r="MT51" s="13">
        <v>34715</v>
      </c>
      <c r="MU51" s="13">
        <v>36829</v>
      </c>
      <c r="MV51" s="13">
        <v>39755</v>
      </c>
      <c r="MW51" s="13">
        <v>41660</v>
      </c>
      <c r="MX51" s="13">
        <v>43369</v>
      </c>
      <c r="MY51" s="13">
        <v>45054</v>
      </c>
      <c r="MZ51" s="13">
        <v>40127</v>
      </c>
      <c r="NA51" s="13">
        <v>41036</v>
      </c>
      <c r="NB51" s="13">
        <v>42056</v>
      </c>
      <c r="NC51" s="13">
        <v>43745</v>
      </c>
      <c r="ND51" s="13">
        <v>43471</v>
      </c>
      <c r="NE51" s="13">
        <v>41957</v>
      </c>
      <c r="NF51" s="13">
        <v>40814</v>
      </c>
      <c r="NG51" s="13">
        <v>39447</v>
      </c>
      <c r="NH51" s="13">
        <v>38107</v>
      </c>
      <c r="NI51" s="13">
        <v>36719</v>
      </c>
      <c r="NJ51" s="13">
        <v>33693</v>
      </c>
      <c r="NK51" s="13">
        <v>26121</v>
      </c>
      <c r="NL51" s="13">
        <v>25087</v>
      </c>
      <c r="NM51" s="13">
        <v>22160</v>
      </c>
      <c r="NN51" s="13">
        <v>20993</v>
      </c>
      <c r="NO51" s="13">
        <v>19835</v>
      </c>
      <c r="NP51" s="13">
        <v>15804</v>
      </c>
      <c r="NQ51" s="13">
        <v>14314</v>
      </c>
      <c r="NR51" s="13">
        <v>12627</v>
      </c>
      <c r="NS51" s="13">
        <v>10990</v>
      </c>
      <c r="NT51" s="13">
        <v>9618</v>
      </c>
      <c r="NU51" s="13">
        <v>8565</v>
      </c>
      <c r="NV51" s="13">
        <v>6738</v>
      </c>
      <c r="NW51" s="13">
        <v>5486</v>
      </c>
      <c r="NX51" s="13">
        <v>4334</v>
      </c>
      <c r="NY51" s="13">
        <v>3349</v>
      </c>
      <c r="NZ51" s="13">
        <v>2567</v>
      </c>
      <c r="OA51" s="13"/>
      <c r="OB51" s="13"/>
      <c r="OC51" s="13">
        <v>658</v>
      </c>
      <c r="OD51" s="13">
        <v>494</v>
      </c>
      <c r="OE51" s="13">
        <v>399</v>
      </c>
      <c r="OF51" s="13">
        <v>338</v>
      </c>
      <c r="OG51" s="13">
        <v>239</v>
      </c>
    </row>
    <row r="52" spans="1:397">
      <c r="A52" s="13" t="s">
        <v>48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>
        <v>0</v>
      </c>
      <c r="IF52" s="13">
        <v>0</v>
      </c>
      <c r="IG52" s="13">
        <v>0</v>
      </c>
      <c r="IH52" s="13">
        <v>0</v>
      </c>
      <c r="II52" s="13">
        <v>0</v>
      </c>
      <c r="IJ52" s="13">
        <v>0</v>
      </c>
      <c r="IK52" s="13">
        <v>0</v>
      </c>
      <c r="IL52" s="13">
        <v>0</v>
      </c>
      <c r="IM52" s="13">
        <v>0</v>
      </c>
      <c r="IN52" s="13">
        <v>0</v>
      </c>
      <c r="IO52" s="13">
        <v>0</v>
      </c>
      <c r="IP52" s="13">
        <v>0</v>
      </c>
      <c r="IQ52" s="13">
        <v>0</v>
      </c>
      <c r="IR52" s="13">
        <v>0</v>
      </c>
      <c r="IS52" s="13">
        <v>0</v>
      </c>
      <c r="IT52" s="13">
        <v>0</v>
      </c>
      <c r="IU52" s="13">
        <v>0</v>
      </c>
      <c r="IV52" s="13">
        <v>0</v>
      </c>
      <c r="IW52" s="13">
        <v>0</v>
      </c>
      <c r="IX52" s="13">
        <v>0</v>
      </c>
      <c r="IY52" s="13">
        <v>0</v>
      </c>
      <c r="IZ52" s="13">
        <v>0</v>
      </c>
      <c r="JA52" s="13">
        <v>0</v>
      </c>
      <c r="JB52" s="13">
        <v>1</v>
      </c>
      <c r="JC52" s="13">
        <v>1</v>
      </c>
      <c r="JD52" s="13">
        <v>1</v>
      </c>
      <c r="JE52" s="13">
        <v>1</v>
      </c>
      <c r="JF52" s="13">
        <v>1</v>
      </c>
      <c r="JG52" s="13">
        <v>1</v>
      </c>
      <c r="JH52" s="13">
        <v>1</v>
      </c>
      <c r="JI52" s="13">
        <v>1</v>
      </c>
      <c r="JJ52" s="13">
        <v>1</v>
      </c>
      <c r="JK52" s="13">
        <v>1</v>
      </c>
      <c r="JL52" s="13">
        <v>1</v>
      </c>
      <c r="JM52" s="13">
        <v>1</v>
      </c>
      <c r="JN52" s="13">
        <v>1</v>
      </c>
      <c r="JO52" s="13">
        <v>1</v>
      </c>
      <c r="JP52" s="13">
        <v>1</v>
      </c>
      <c r="JQ52" s="13">
        <v>1</v>
      </c>
      <c r="JR52" s="13">
        <v>1</v>
      </c>
      <c r="JS52" s="13">
        <v>1</v>
      </c>
      <c r="JT52" s="13">
        <v>1</v>
      </c>
      <c r="JU52" s="13">
        <v>1</v>
      </c>
      <c r="JV52" s="13">
        <v>1</v>
      </c>
      <c r="JW52" s="13">
        <v>1</v>
      </c>
      <c r="JX52" s="13">
        <v>1</v>
      </c>
      <c r="JY52" s="13">
        <v>1</v>
      </c>
      <c r="JZ52" s="13">
        <v>1</v>
      </c>
      <c r="KA52" s="13">
        <v>0</v>
      </c>
      <c r="KB52" s="13">
        <v>0</v>
      </c>
      <c r="KC52" s="13">
        <v>0</v>
      </c>
      <c r="KD52" s="13">
        <v>0</v>
      </c>
      <c r="KE52" s="13">
        <v>0</v>
      </c>
      <c r="KF52" s="13">
        <v>0</v>
      </c>
      <c r="KG52" s="13">
        <v>0</v>
      </c>
      <c r="KH52" s="13">
        <v>0</v>
      </c>
      <c r="KI52" s="13">
        <v>0</v>
      </c>
      <c r="KJ52" s="13">
        <v>0</v>
      </c>
      <c r="KK52" s="13">
        <v>0</v>
      </c>
      <c r="KL52" s="13">
        <v>0</v>
      </c>
      <c r="KM52" s="13">
        <v>0</v>
      </c>
      <c r="KN52" s="13">
        <v>0</v>
      </c>
      <c r="KO52" s="13">
        <v>0</v>
      </c>
      <c r="KP52" s="13">
        <v>0</v>
      </c>
      <c r="KQ52" s="13">
        <v>1</v>
      </c>
      <c r="KR52" s="13">
        <v>1</v>
      </c>
      <c r="KS52" s="13">
        <v>3</v>
      </c>
      <c r="KT52" s="13">
        <v>6</v>
      </c>
      <c r="KU52" s="13">
        <v>6</v>
      </c>
      <c r="KV52" s="13">
        <v>6</v>
      </c>
      <c r="KW52" s="13">
        <v>9</v>
      </c>
      <c r="KX52" s="13">
        <v>15</v>
      </c>
      <c r="KY52" s="13">
        <v>18</v>
      </c>
      <c r="KZ52" s="13">
        <v>24</v>
      </c>
      <c r="LA52" s="13">
        <v>32</v>
      </c>
      <c r="LB52" s="13">
        <v>38</v>
      </c>
      <c r="LC52" s="13">
        <v>50</v>
      </c>
      <c r="LD52" s="13">
        <v>51</v>
      </c>
      <c r="LE52" s="13">
        <v>54</v>
      </c>
      <c r="LF52" s="13">
        <v>70</v>
      </c>
      <c r="LG52" s="13">
        <v>84</v>
      </c>
      <c r="LH52" s="13">
        <v>111</v>
      </c>
      <c r="LI52" s="13">
        <v>149</v>
      </c>
      <c r="LJ52" s="13">
        <v>171</v>
      </c>
      <c r="LK52" s="13">
        <v>194</v>
      </c>
      <c r="LL52" s="13">
        <v>239</v>
      </c>
      <c r="LM52" s="13">
        <v>280</v>
      </c>
      <c r="LN52" s="13">
        <v>311</v>
      </c>
      <c r="LO52" s="13">
        <v>350</v>
      </c>
      <c r="LP52" s="13">
        <v>427</v>
      </c>
      <c r="LQ52" s="13">
        <v>515</v>
      </c>
      <c r="LR52" s="13">
        <v>659</v>
      </c>
      <c r="LS52" s="13">
        <v>754</v>
      </c>
      <c r="LT52" s="13">
        <v>914</v>
      </c>
      <c r="LU52" s="13">
        <v>1050</v>
      </c>
      <c r="LV52" s="13">
        <v>1203</v>
      </c>
      <c r="LW52" s="13">
        <v>1343</v>
      </c>
      <c r="LX52" s="13">
        <v>1419</v>
      </c>
      <c r="LY52" s="13">
        <v>1521</v>
      </c>
      <c r="LZ52" s="13">
        <v>1657</v>
      </c>
      <c r="MA52" s="13">
        <v>1809</v>
      </c>
      <c r="MB52" s="13">
        <v>2077</v>
      </c>
      <c r="MC52" s="13">
        <v>2243</v>
      </c>
      <c r="MD52" s="13">
        <v>2403</v>
      </c>
      <c r="ME52" s="13">
        <v>2551</v>
      </c>
      <c r="MF52" s="13">
        <v>2896</v>
      </c>
      <c r="MG52" s="13">
        <v>3251</v>
      </c>
      <c r="MH52" s="13">
        <v>3453</v>
      </c>
      <c r="MI52" s="13">
        <v>3613</v>
      </c>
      <c r="MJ52" s="13">
        <v>3855</v>
      </c>
      <c r="MK52" s="13">
        <v>4101</v>
      </c>
      <c r="ML52" s="13">
        <v>4206</v>
      </c>
      <c r="MM52" s="13">
        <v>4395</v>
      </c>
      <c r="MN52" s="13">
        <v>4592</v>
      </c>
      <c r="MO52" s="13">
        <v>4747</v>
      </c>
      <c r="MP52" s="13">
        <v>5095</v>
      </c>
      <c r="MQ52" s="13">
        <v>5407</v>
      </c>
      <c r="MR52" s="13">
        <v>5646</v>
      </c>
      <c r="MS52" s="13">
        <v>5858</v>
      </c>
      <c r="MT52" s="13">
        <v>6056</v>
      </c>
      <c r="MU52" s="13">
        <v>6270</v>
      </c>
      <c r="MV52" s="13">
        <v>6581</v>
      </c>
      <c r="MW52" s="13">
        <v>6840</v>
      </c>
      <c r="MX52" s="13">
        <v>7090</v>
      </c>
      <c r="MY52" s="13">
        <v>7776</v>
      </c>
      <c r="MZ52" s="13">
        <v>8583</v>
      </c>
      <c r="NA52" s="13">
        <v>8400</v>
      </c>
      <c r="NB52" s="13">
        <v>8979</v>
      </c>
      <c r="NC52" s="13">
        <v>9128</v>
      </c>
      <c r="ND52" s="13">
        <v>9289</v>
      </c>
      <c r="NE52" s="13">
        <v>9117</v>
      </c>
      <c r="NF52" s="13">
        <v>8024</v>
      </c>
      <c r="NG52" s="13">
        <v>8439</v>
      </c>
      <c r="NH52" s="13">
        <v>8276</v>
      </c>
      <c r="NI52" s="13">
        <v>7593</v>
      </c>
      <c r="NJ52" s="13">
        <v>5647</v>
      </c>
      <c r="NK52" s="13">
        <v>5724</v>
      </c>
      <c r="NL52" s="13">
        <v>5046</v>
      </c>
      <c r="NM52" s="13">
        <v>4269</v>
      </c>
      <c r="NN52" s="13">
        <v>4093</v>
      </c>
      <c r="NO52" s="13">
        <v>4188</v>
      </c>
      <c r="NP52" s="13">
        <v>3161</v>
      </c>
      <c r="NQ52" s="13">
        <v>2328</v>
      </c>
      <c r="NR52" s="13">
        <v>1809</v>
      </c>
      <c r="NS52" s="13">
        <v>1567</v>
      </c>
      <c r="NT52" s="13">
        <v>1223</v>
      </c>
      <c r="NU52" s="13">
        <v>1118</v>
      </c>
      <c r="NV52" s="13">
        <v>956</v>
      </c>
      <c r="NW52" s="13">
        <v>804</v>
      </c>
      <c r="NX52" s="13">
        <v>711</v>
      </c>
      <c r="NY52" s="13">
        <v>671</v>
      </c>
      <c r="NZ52" s="13">
        <v>563</v>
      </c>
      <c r="OA52" s="13">
        <v>221</v>
      </c>
      <c r="OB52" s="13">
        <v>129</v>
      </c>
      <c r="OC52" s="13">
        <v>100</v>
      </c>
      <c r="OD52" s="13">
        <v>106</v>
      </c>
      <c r="OE52" s="13">
        <v>71</v>
      </c>
      <c r="OF52" s="13">
        <v>65</v>
      </c>
      <c r="OG52" s="13">
        <v>51</v>
      </c>
    </row>
    <row r="53" spans="1:397">
      <c r="A53" s="13" t="s">
        <v>49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>
        <v>0</v>
      </c>
      <c r="IF53" s="13">
        <v>0</v>
      </c>
      <c r="IG53" s="13">
        <v>0</v>
      </c>
      <c r="IH53" s="13">
        <v>0</v>
      </c>
      <c r="II53" s="13">
        <v>0</v>
      </c>
      <c r="IJ53" s="13">
        <v>0</v>
      </c>
      <c r="IK53" s="13">
        <v>0</v>
      </c>
      <c r="IL53" s="13">
        <v>0</v>
      </c>
      <c r="IM53" s="13">
        <v>0</v>
      </c>
      <c r="IN53" s="13">
        <v>0</v>
      </c>
      <c r="IO53" s="13">
        <v>0</v>
      </c>
      <c r="IP53" s="13">
        <v>0</v>
      </c>
      <c r="IQ53" s="13">
        <v>0</v>
      </c>
      <c r="IR53" s="13">
        <v>0</v>
      </c>
      <c r="IS53" s="13">
        <v>0</v>
      </c>
      <c r="IT53" s="13">
        <v>0</v>
      </c>
      <c r="IU53" s="13">
        <v>0</v>
      </c>
      <c r="IV53" s="13">
        <v>0</v>
      </c>
      <c r="IW53" s="13">
        <v>0</v>
      </c>
      <c r="IX53" s="13">
        <v>0</v>
      </c>
      <c r="IY53" s="13">
        <v>0</v>
      </c>
      <c r="IZ53" s="13">
        <v>0</v>
      </c>
      <c r="JA53" s="13">
        <v>0</v>
      </c>
      <c r="JB53" s="13">
        <v>0</v>
      </c>
      <c r="JC53" s="13">
        <v>0</v>
      </c>
      <c r="JD53" s="13">
        <v>0</v>
      </c>
      <c r="JE53" s="13">
        <v>0</v>
      </c>
      <c r="JF53" s="13">
        <v>0</v>
      </c>
      <c r="JG53" s="13">
        <v>0</v>
      </c>
      <c r="JH53" s="13">
        <v>1</v>
      </c>
      <c r="JI53" s="13">
        <v>1</v>
      </c>
      <c r="JJ53" s="13">
        <v>1</v>
      </c>
      <c r="JK53" s="13">
        <v>1</v>
      </c>
      <c r="JL53" s="13">
        <v>1</v>
      </c>
      <c r="JM53" s="13">
        <v>1</v>
      </c>
      <c r="JN53" s="13">
        <v>1</v>
      </c>
      <c r="JO53" s="13">
        <v>1</v>
      </c>
      <c r="JP53" s="13">
        <v>1</v>
      </c>
      <c r="JQ53" s="13">
        <v>1</v>
      </c>
      <c r="JR53" s="13">
        <v>1</v>
      </c>
      <c r="JS53" s="13">
        <v>1</v>
      </c>
      <c r="JT53" s="13">
        <v>1</v>
      </c>
      <c r="JU53" s="13">
        <v>1</v>
      </c>
      <c r="JV53" s="13">
        <v>1</v>
      </c>
      <c r="JW53" s="13">
        <v>1</v>
      </c>
      <c r="JX53" s="13">
        <v>1</v>
      </c>
      <c r="JY53" s="13">
        <v>1</v>
      </c>
      <c r="JZ53" s="13">
        <v>0</v>
      </c>
      <c r="KA53" s="13">
        <v>0</v>
      </c>
      <c r="KB53" s="13">
        <v>0</v>
      </c>
      <c r="KC53" s="13">
        <v>0</v>
      </c>
      <c r="KD53" s="13">
        <v>0</v>
      </c>
      <c r="KE53" s="13">
        <v>0</v>
      </c>
      <c r="KF53" s="13">
        <v>0</v>
      </c>
      <c r="KG53" s="13">
        <v>0</v>
      </c>
      <c r="KH53" s="13">
        <v>0</v>
      </c>
      <c r="KI53" s="13">
        <v>0</v>
      </c>
      <c r="KJ53" s="13">
        <v>0</v>
      </c>
      <c r="KK53" s="13">
        <v>0</v>
      </c>
      <c r="KL53" s="13">
        <v>0</v>
      </c>
      <c r="KM53" s="13">
        <v>0</v>
      </c>
      <c r="KN53" s="13">
        <v>0</v>
      </c>
      <c r="KO53" s="13">
        <v>0</v>
      </c>
      <c r="KP53" s="13">
        <v>0</v>
      </c>
      <c r="KQ53" s="13">
        <v>0</v>
      </c>
      <c r="KR53" s="13">
        <v>1</v>
      </c>
      <c r="KS53" s="13">
        <v>12</v>
      </c>
      <c r="KT53" s="13">
        <v>13</v>
      </c>
      <c r="KU53" s="13">
        <v>14</v>
      </c>
      <c r="KV53" s="13">
        <v>16</v>
      </c>
      <c r="KW53" s="13">
        <v>18</v>
      </c>
      <c r="KX53" s="13">
        <v>17</v>
      </c>
      <c r="KY53" s="13">
        <v>20</v>
      </c>
      <c r="KZ53" s="13">
        <v>33</v>
      </c>
      <c r="LA53" s="13">
        <v>37</v>
      </c>
      <c r="LB53" s="13">
        <v>37</v>
      </c>
      <c r="LC53" s="13">
        <v>43</v>
      </c>
      <c r="LD53" s="13">
        <v>44</v>
      </c>
      <c r="LE53" s="13">
        <v>49</v>
      </c>
      <c r="LF53" s="13">
        <v>67</v>
      </c>
      <c r="LG53" s="13">
        <v>74</v>
      </c>
      <c r="LH53" s="13">
        <v>73</v>
      </c>
      <c r="LI53" s="13">
        <v>85</v>
      </c>
      <c r="LJ53" s="13">
        <v>96</v>
      </c>
      <c r="LK53" s="13">
        <v>109</v>
      </c>
      <c r="LL53" s="13">
        <v>110</v>
      </c>
      <c r="LM53" s="13">
        <v>120</v>
      </c>
      <c r="LN53" s="13">
        <v>124</v>
      </c>
      <c r="LO53" s="13">
        <v>147</v>
      </c>
      <c r="LP53" s="13">
        <v>174</v>
      </c>
      <c r="LQ53" s="13">
        <v>195</v>
      </c>
      <c r="LR53" s="13">
        <v>227</v>
      </c>
      <c r="LS53" s="13">
        <v>245</v>
      </c>
      <c r="LT53" s="13">
        <v>287</v>
      </c>
      <c r="LU53" s="13">
        <v>318</v>
      </c>
      <c r="LV53" s="13">
        <v>336</v>
      </c>
      <c r="LW53" s="13">
        <v>371</v>
      </c>
      <c r="LX53" s="13">
        <v>393</v>
      </c>
      <c r="LY53" s="13">
        <v>406</v>
      </c>
      <c r="LZ53" s="13">
        <v>441</v>
      </c>
      <c r="MA53" s="13">
        <v>465</v>
      </c>
      <c r="MB53" s="13">
        <v>503</v>
      </c>
      <c r="MC53" s="13">
        <v>539</v>
      </c>
      <c r="MD53" s="13">
        <v>572</v>
      </c>
      <c r="ME53" s="13">
        <v>612</v>
      </c>
      <c r="MF53" s="13">
        <v>647</v>
      </c>
      <c r="MG53" s="13">
        <v>697</v>
      </c>
      <c r="MH53" s="13">
        <v>727</v>
      </c>
      <c r="MI53" s="13">
        <v>799</v>
      </c>
      <c r="MJ53" s="13">
        <v>846</v>
      </c>
      <c r="MK53" s="13">
        <v>890</v>
      </c>
      <c r="ML53" s="13">
        <v>934</v>
      </c>
      <c r="MM53" s="13">
        <v>964</v>
      </c>
      <c r="MN53" s="13">
        <v>996</v>
      </c>
      <c r="MO53" s="13">
        <v>1041</v>
      </c>
      <c r="MP53" s="13">
        <v>1137</v>
      </c>
      <c r="MQ53" s="13">
        <v>1186</v>
      </c>
      <c r="MR53" s="13">
        <v>1226</v>
      </c>
      <c r="MS53" s="13">
        <v>1249</v>
      </c>
      <c r="MT53" s="13">
        <v>1314</v>
      </c>
      <c r="MU53" s="13">
        <v>1363</v>
      </c>
      <c r="MV53" s="13">
        <v>1403</v>
      </c>
      <c r="MW53" s="13">
        <v>1486</v>
      </c>
      <c r="MX53" s="13">
        <v>1585</v>
      </c>
      <c r="MY53" s="13">
        <v>1654</v>
      </c>
      <c r="MZ53" s="13">
        <v>1845</v>
      </c>
      <c r="NA53" s="13">
        <v>2492</v>
      </c>
      <c r="NB53" s="13">
        <v>2018</v>
      </c>
      <c r="NC53" s="13">
        <v>2050</v>
      </c>
      <c r="ND53" s="13">
        <v>1957</v>
      </c>
      <c r="NE53" s="13">
        <v>1853</v>
      </c>
      <c r="NF53" s="13">
        <v>1773</v>
      </c>
      <c r="NG53" s="13">
        <v>1957</v>
      </c>
      <c r="NH53" s="13">
        <v>1876</v>
      </c>
      <c r="NI53" s="13">
        <v>1685</v>
      </c>
      <c r="NJ53" s="13">
        <v>1437</v>
      </c>
      <c r="NK53" s="13">
        <v>1517</v>
      </c>
      <c r="NL53" s="13">
        <v>1298</v>
      </c>
      <c r="NM53" s="13">
        <v>1236</v>
      </c>
      <c r="NN53" s="13">
        <v>1154</v>
      </c>
      <c r="NO53" s="13">
        <v>1007</v>
      </c>
      <c r="NP53" s="13">
        <v>841</v>
      </c>
      <c r="NQ53" s="13">
        <v>756</v>
      </c>
      <c r="NR53" s="13">
        <v>711</v>
      </c>
      <c r="NS53" s="13">
        <v>576</v>
      </c>
      <c r="NT53" s="13">
        <v>478</v>
      </c>
      <c r="NU53" s="13">
        <v>444</v>
      </c>
      <c r="NV53" s="13">
        <v>338</v>
      </c>
      <c r="NW53" s="13">
        <v>290</v>
      </c>
      <c r="NX53" s="13">
        <v>277</v>
      </c>
      <c r="NY53" s="13">
        <v>228</v>
      </c>
      <c r="NZ53" s="13">
        <v>127</v>
      </c>
      <c r="OA53" s="13">
        <v>69</v>
      </c>
      <c r="OB53" s="13"/>
      <c r="OC53" s="13">
        <v>57</v>
      </c>
      <c r="OD53" s="13">
        <v>23</v>
      </c>
      <c r="OE53" s="13">
        <v>24</v>
      </c>
      <c r="OF53" s="13">
        <v>23</v>
      </c>
      <c r="OG53" s="13">
        <v>12</v>
      </c>
    </row>
    <row r="54" spans="1:397">
      <c r="A54" s="13" t="s">
        <v>51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>
        <v>0</v>
      </c>
      <c r="IF54" s="13">
        <v>0</v>
      </c>
      <c r="IG54" s="13">
        <v>0</v>
      </c>
      <c r="IH54" s="13">
        <v>0</v>
      </c>
      <c r="II54" s="13">
        <v>0</v>
      </c>
      <c r="IJ54" s="13">
        <v>0</v>
      </c>
      <c r="IK54" s="13">
        <v>0</v>
      </c>
      <c r="IL54" s="13">
        <v>0</v>
      </c>
      <c r="IM54" s="13">
        <v>0</v>
      </c>
      <c r="IN54" s="13">
        <v>0</v>
      </c>
      <c r="IO54" s="13">
        <v>0</v>
      </c>
      <c r="IP54" s="13">
        <v>0</v>
      </c>
      <c r="IQ54" s="13">
        <v>0</v>
      </c>
      <c r="IR54" s="13">
        <v>0</v>
      </c>
      <c r="IS54" s="13">
        <v>0</v>
      </c>
      <c r="IT54" s="13">
        <v>0</v>
      </c>
      <c r="IU54" s="13">
        <v>0</v>
      </c>
      <c r="IV54" s="13">
        <v>0</v>
      </c>
      <c r="IW54" s="13">
        <v>0</v>
      </c>
      <c r="IX54" s="13">
        <v>0</v>
      </c>
      <c r="IY54" s="13">
        <v>0</v>
      </c>
      <c r="IZ54" s="13">
        <v>0</v>
      </c>
      <c r="JA54" s="13">
        <v>0</v>
      </c>
      <c r="JB54" s="13">
        <v>0</v>
      </c>
      <c r="JC54" s="13">
        <v>0</v>
      </c>
      <c r="JD54" s="13">
        <v>0</v>
      </c>
      <c r="JE54" s="13">
        <v>0</v>
      </c>
      <c r="JF54" s="13">
        <v>0</v>
      </c>
      <c r="JG54" s="13">
        <v>0</v>
      </c>
      <c r="JH54" s="13">
        <v>0</v>
      </c>
      <c r="JI54" s="13">
        <v>0</v>
      </c>
      <c r="JJ54" s="13">
        <v>0</v>
      </c>
      <c r="JK54" s="13">
        <v>0</v>
      </c>
      <c r="JL54" s="13">
        <v>0</v>
      </c>
      <c r="JM54" s="13">
        <v>0</v>
      </c>
      <c r="JN54" s="13">
        <v>0</v>
      </c>
      <c r="JO54" s="13">
        <v>0</v>
      </c>
      <c r="JP54" s="13">
        <v>0</v>
      </c>
      <c r="JQ54" s="13">
        <v>0</v>
      </c>
      <c r="JR54" s="13">
        <v>0</v>
      </c>
      <c r="JS54" s="13">
        <v>0</v>
      </c>
      <c r="JT54" s="13">
        <v>0</v>
      </c>
      <c r="JU54" s="13">
        <v>0</v>
      </c>
      <c r="JV54" s="13">
        <v>0</v>
      </c>
      <c r="JW54" s="13">
        <v>0</v>
      </c>
      <c r="JX54" s="13">
        <v>0</v>
      </c>
      <c r="JY54" s="13">
        <v>0</v>
      </c>
      <c r="JZ54" s="13">
        <v>0</v>
      </c>
      <c r="KA54" s="13">
        <v>0</v>
      </c>
      <c r="KB54" s="13">
        <v>0</v>
      </c>
      <c r="KC54" s="13">
        <v>0</v>
      </c>
      <c r="KD54" s="13">
        <v>0</v>
      </c>
      <c r="KE54" s="13">
        <v>0</v>
      </c>
      <c r="KF54" s="13">
        <v>0</v>
      </c>
      <c r="KG54" s="13">
        <v>0</v>
      </c>
      <c r="KH54" s="13">
        <v>0</v>
      </c>
      <c r="KI54" s="13">
        <v>0</v>
      </c>
      <c r="KJ54" s="13">
        <v>0</v>
      </c>
      <c r="KK54" s="13">
        <v>0</v>
      </c>
      <c r="KL54" s="13">
        <v>0</v>
      </c>
      <c r="KM54" s="13">
        <v>0</v>
      </c>
      <c r="KN54" s="13">
        <v>0</v>
      </c>
      <c r="KO54" s="13">
        <v>0</v>
      </c>
      <c r="KP54" s="13">
        <v>0</v>
      </c>
      <c r="KQ54" s="13">
        <v>0</v>
      </c>
      <c r="KR54" s="13">
        <v>0</v>
      </c>
      <c r="KS54" s="13">
        <v>0</v>
      </c>
      <c r="KT54" s="13">
        <v>0</v>
      </c>
      <c r="KU54" s="13">
        <v>0</v>
      </c>
      <c r="KV54" s="13">
        <v>0</v>
      </c>
      <c r="KW54" s="13">
        <v>0</v>
      </c>
      <c r="KX54" s="13">
        <v>0</v>
      </c>
      <c r="KY54" s="13">
        <v>0</v>
      </c>
      <c r="KZ54" s="13">
        <v>0</v>
      </c>
      <c r="LA54" s="13">
        <v>0</v>
      </c>
      <c r="LB54" s="13">
        <v>0</v>
      </c>
      <c r="LC54" s="13">
        <v>0</v>
      </c>
      <c r="LD54" s="13">
        <v>0</v>
      </c>
      <c r="LE54" s="13">
        <v>0</v>
      </c>
      <c r="LF54" s="13">
        <v>0</v>
      </c>
      <c r="LG54" s="13">
        <v>0</v>
      </c>
      <c r="LH54" s="13">
        <v>0</v>
      </c>
      <c r="LI54" s="13">
        <v>0</v>
      </c>
      <c r="LJ54" s="13">
        <v>0</v>
      </c>
      <c r="LK54" s="13">
        <v>0</v>
      </c>
      <c r="LL54" s="13">
        <v>0</v>
      </c>
      <c r="LM54" s="13">
        <v>0</v>
      </c>
      <c r="LN54" s="13">
        <v>0</v>
      </c>
      <c r="LO54" s="13">
        <v>0</v>
      </c>
      <c r="LP54" s="13">
        <v>0</v>
      </c>
      <c r="LQ54" s="13">
        <v>0</v>
      </c>
      <c r="LR54" s="13">
        <v>0</v>
      </c>
      <c r="LS54" s="13">
        <v>0</v>
      </c>
      <c r="LT54" s="13">
        <v>0</v>
      </c>
      <c r="LU54" s="13">
        <v>0</v>
      </c>
      <c r="LV54" s="13">
        <v>0</v>
      </c>
      <c r="LW54" s="13">
        <v>0</v>
      </c>
      <c r="LX54" s="13">
        <v>0</v>
      </c>
      <c r="LY54" s="13">
        <v>0</v>
      </c>
      <c r="LZ54" s="13">
        <v>0</v>
      </c>
      <c r="MA54" s="13">
        <v>0</v>
      </c>
      <c r="MB54" s="13">
        <v>0</v>
      </c>
      <c r="MC54" s="13">
        <v>3</v>
      </c>
      <c r="MD54" s="13">
        <v>18</v>
      </c>
      <c r="ME54" s="13">
        <v>18</v>
      </c>
      <c r="MF54" s="13">
        <v>34</v>
      </c>
      <c r="MG54" s="13">
        <v>49</v>
      </c>
      <c r="MH54" s="13">
        <v>158</v>
      </c>
      <c r="MI54" s="13">
        <v>198</v>
      </c>
      <c r="MJ54" s="13">
        <v>246</v>
      </c>
      <c r="MK54" s="13">
        <v>277</v>
      </c>
      <c r="ML54" s="13">
        <v>295</v>
      </c>
      <c r="MM54" s="13">
        <v>301</v>
      </c>
      <c r="MN54" s="13">
        <v>285</v>
      </c>
      <c r="MO54" s="13">
        <v>315</v>
      </c>
      <c r="MP54" s="13">
        <v>340</v>
      </c>
      <c r="MQ54" s="13">
        <v>434</v>
      </c>
      <c r="MR54" s="13">
        <v>527</v>
      </c>
      <c r="MS54" s="13">
        <v>646</v>
      </c>
      <c r="MT54" s="13">
        <v>1171</v>
      </c>
      <c r="MU54" s="13">
        <v>1989</v>
      </c>
      <c r="MV54" s="13">
        <v>2019</v>
      </c>
      <c r="MW54" s="13">
        <v>2067</v>
      </c>
      <c r="MX54" s="13">
        <v>2292</v>
      </c>
      <c r="MY54" s="13">
        <v>2770</v>
      </c>
      <c r="MZ54" s="13">
        <v>3363</v>
      </c>
      <c r="NA54" s="13">
        <v>4490</v>
      </c>
      <c r="NB54" s="13">
        <v>4094</v>
      </c>
      <c r="NC54" s="13">
        <v>3456</v>
      </c>
      <c r="ND54" s="13">
        <v>3462</v>
      </c>
      <c r="NE54" s="13">
        <v>4194</v>
      </c>
      <c r="NF54" s="13">
        <v>4826</v>
      </c>
      <c r="NG54" s="13"/>
      <c r="NH54" s="13">
        <v>5534</v>
      </c>
      <c r="NI54" s="13">
        <v>6169</v>
      </c>
      <c r="NJ54" s="13">
        <v>9028</v>
      </c>
      <c r="NK54" s="13">
        <v>11295</v>
      </c>
      <c r="NL54" s="13">
        <v>16687</v>
      </c>
      <c r="NM54" s="13">
        <v>18438</v>
      </c>
      <c r="NN54" s="13">
        <v>23638</v>
      </c>
      <c r="NO54" s="13"/>
      <c r="NP54" s="13"/>
      <c r="NQ54" s="13"/>
      <c r="NR54" s="13"/>
      <c r="NS54" s="13"/>
      <c r="NT54" s="13"/>
      <c r="NU54" s="13"/>
      <c r="NV54" s="13"/>
      <c r="NW54" s="13"/>
      <c r="NX54" s="13"/>
      <c r="NY54" s="13"/>
      <c r="NZ54" s="13"/>
      <c r="OA54" s="13"/>
      <c r="OB54" s="13"/>
      <c r="OC54" s="13"/>
      <c r="OD54" s="13"/>
      <c r="OE54" s="13"/>
      <c r="OF54" s="13"/>
      <c r="OG54" s="13"/>
    </row>
    <row r="55" spans="1:397">
      <c r="A55" s="13" t="s">
        <v>53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>
        <v>285075</v>
      </c>
      <c r="IF55" s="13">
        <v>285074</v>
      </c>
      <c r="IG55" s="13">
        <v>285073</v>
      </c>
      <c r="IH55" s="13">
        <v>285067</v>
      </c>
      <c r="II55" s="13">
        <v>285055</v>
      </c>
      <c r="IJ55" s="13">
        <v>285048</v>
      </c>
      <c r="IK55" s="13">
        <v>285048</v>
      </c>
      <c r="IL55" s="13">
        <v>285037</v>
      </c>
      <c r="IM55" s="13">
        <v>285037</v>
      </c>
      <c r="IN55" s="13">
        <v>285031</v>
      </c>
      <c r="IO55" s="13">
        <v>285025</v>
      </c>
      <c r="IP55" s="13">
        <v>285024</v>
      </c>
      <c r="IQ55" s="13">
        <v>285022</v>
      </c>
      <c r="IR55" s="13">
        <v>285008</v>
      </c>
      <c r="IS55" s="13">
        <v>285008</v>
      </c>
      <c r="IT55" s="13">
        <v>285001</v>
      </c>
      <c r="IU55" s="13">
        <v>284996</v>
      </c>
      <c r="IV55" s="13">
        <v>284996</v>
      </c>
      <c r="IW55" s="13">
        <v>284989</v>
      </c>
      <c r="IX55" s="13">
        <v>284962</v>
      </c>
      <c r="IY55" s="13">
        <v>284958</v>
      </c>
      <c r="IZ55" s="13">
        <v>284950</v>
      </c>
      <c r="JA55" s="13">
        <v>284898</v>
      </c>
      <c r="JB55" s="13">
        <v>284862</v>
      </c>
      <c r="JC55" s="13">
        <v>284854</v>
      </c>
      <c r="JD55" s="13">
        <v>284849</v>
      </c>
      <c r="JE55" s="13">
        <v>284847</v>
      </c>
      <c r="JF55" s="13">
        <v>284844</v>
      </c>
      <c r="JG55" s="13">
        <v>284812</v>
      </c>
      <c r="JH55" s="13">
        <v>284791</v>
      </c>
      <c r="JI55" s="13">
        <v>284720</v>
      </c>
      <c r="JJ55" s="13">
        <v>284657</v>
      </c>
      <c r="JK55" s="13">
        <v>284534</v>
      </c>
      <c r="JL55" s="13">
        <v>284330</v>
      </c>
      <c r="JM55" s="13">
        <v>284217</v>
      </c>
      <c r="JN55" s="13">
        <v>284110</v>
      </c>
      <c r="JO55" s="13">
        <v>283965</v>
      </c>
      <c r="JP55" s="13">
        <v>283817</v>
      </c>
      <c r="JQ55" s="13">
        <v>283727</v>
      </c>
      <c r="JR55" s="13">
        <v>283665</v>
      </c>
      <c r="JS55" s="13">
        <v>283589</v>
      </c>
      <c r="JT55" s="13">
        <v>283505</v>
      </c>
      <c r="JU55" s="13">
        <v>283349</v>
      </c>
      <c r="JV55" s="13">
        <v>283349</v>
      </c>
      <c r="JW55" s="13">
        <v>283306</v>
      </c>
      <c r="JX55" s="13">
        <v>283260</v>
      </c>
      <c r="JY55" s="13">
        <v>283216</v>
      </c>
      <c r="JZ55" s="13">
        <v>283118</v>
      </c>
      <c r="KA55" s="13">
        <v>283074</v>
      </c>
      <c r="KB55" s="13">
        <v>283009</v>
      </c>
      <c r="KC55" s="13">
        <v>282926</v>
      </c>
      <c r="KD55" s="13">
        <v>282865</v>
      </c>
      <c r="KE55" s="13">
        <v>282812</v>
      </c>
      <c r="KF55" s="13">
        <v>282751</v>
      </c>
      <c r="KG55" s="13">
        <v>282701</v>
      </c>
      <c r="KH55" s="13">
        <v>282632</v>
      </c>
      <c r="KI55" s="13">
        <v>282546</v>
      </c>
      <c r="KJ55" s="13">
        <v>282482</v>
      </c>
      <c r="KK55" s="13">
        <v>282382</v>
      </c>
      <c r="KL55" s="13">
        <v>282324</v>
      </c>
      <c r="KM55" s="13">
        <v>282236</v>
      </c>
      <c r="KN55" s="13">
        <v>282107</v>
      </c>
      <c r="KO55" s="13">
        <v>281984</v>
      </c>
      <c r="KP55" s="13">
        <v>281874</v>
      </c>
      <c r="KQ55" s="13">
        <v>281721</v>
      </c>
      <c r="KR55" s="13">
        <v>281620</v>
      </c>
      <c r="KS55" s="13">
        <v>281530</v>
      </c>
      <c r="KT55" s="13">
        <v>281438</v>
      </c>
      <c r="KU55" s="13">
        <v>281229</v>
      </c>
      <c r="KV55" s="13">
        <v>281141</v>
      </c>
      <c r="KW55" s="13">
        <v>281022</v>
      </c>
      <c r="KX55" s="13">
        <v>280847</v>
      </c>
      <c r="KY55" s="13">
        <v>280675</v>
      </c>
      <c r="KZ55" s="13">
        <v>280458</v>
      </c>
      <c r="LA55" s="13">
        <v>280307</v>
      </c>
      <c r="LB55" s="13">
        <v>280200</v>
      </c>
      <c r="LC55" s="13">
        <v>280029</v>
      </c>
      <c r="LD55" s="13">
        <v>279940</v>
      </c>
      <c r="LE55" s="13">
        <v>279767</v>
      </c>
      <c r="LF55" s="13">
        <v>279668</v>
      </c>
      <c r="LG55" s="13">
        <v>279553</v>
      </c>
      <c r="LH55" s="13">
        <v>279385</v>
      </c>
      <c r="LI55" s="13">
        <v>279236</v>
      </c>
      <c r="LJ55" s="13">
        <v>279059</v>
      </c>
      <c r="LK55" s="13">
        <v>278797</v>
      </c>
      <c r="LL55" s="13">
        <v>278596</v>
      </c>
      <c r="LM55" s="13">
        <v>278370</v>
      </c>
      <c r="LN55" s="13">
        <v>278179</v>
      </c>
      <c r="LO55" s="13">
        <v>278089</v>
      </c>
      <c r="LP55" s="13">
        <v>277963</v>
      </c>
      <c r="LQ55" s="13">
        <v>277367</v>
      </c>
      <c r="LR55" s="13">
        <v>277271</v>
      </c>
      <c r="LS55" s="13">
        <v>277213</v>
      </c>
      <c r="LT55" s="13">
        <v>277066</v>
      </c>
      <c r="LU55" s="13">
        <v>276909</v>
      </c>
      <c r="LV55" s="13">
        <v>276597</v>
      </c>
      <c r="LW55" s="13">
        <v>276227</v>
      </c>
      <c r="LX55" s="13">
        <v>276153</v>
      </c>
      <c r="LY55" s="13">
        <v>276026</v>
      </c>
      <c r="LZ55" s="13">
        <v>275955</v>
      </c>
      <c r="MA55" s="13">
        <v>275883</v>
      </c>
      <c r="MB55" s="13">
        <v>275817</v>
      </c>
      <c r="MC55" s="13">
        <v>275696</v>
      </c>
      <c r="MD55" s="13">
        <v>275503</v>
      </c>
      <c r="ME55" s="13">
        <v>275362</v>
      </c>
      <c r="MF55" s="13">
        <v>275224</v>
      </c>
      <c r="MG55" s="13">
        <v>274992</v>
      </c>
      <c r="MH55" s="13">
        <v>274790</v>
      </c>
      <c r="MI55" s="13">
        <v>274109</v>
      </c>
      <c r="MJ55" s="13">
        <v>273921</v>
      </c>
      <c r="MK55" s="13">
        <v>273617</v>
      </c>
      <c r="ML55" s="13">
        <v>273217</v>
      </c>
      <c r="MM55" s="13">
        <v>272837</v>
      </c>
      <c r="MN55" s="13">
        <v>271959</v>
      </c>
      <c r="MO55" s="13">
        <v>270593</v>
      </c>
      <c r="MP55" s="13">
        <v>269379</v>
      </c>
      <c r="MQ55" s="13">
        <v>268546</v>
      </c>
      <c r="MR55" s="13">
        <v>267585</v>
      </c>
      <c r="MS55" s="13">
        <v>265617</v>
      </c>
      <c r="MT55" s="13">
        <v>263916</v>
      </c>
      <c r="MU55" s="13">
        <v>262195</v>
      </c>
      <c r="MV55" s="13">
        <v>259491</v>
      </c>
      <c r="MW55" s="13">
        <v>255750</v>
      </c>
      <c r="MX55" s="13">
        <v>251265</v>
      </c>
      <c r="MY55" s="13">
        <v>246781</v>
      </c>
      <c r="MZ55" s="13">
        <v>240937</v>
      </c>
      <c r="NA55" s="13">
        <v>234217</v>
      </c>
      <c r="NB55" s="13">
        <v>225696</v>
      </c>
      <c r="NC55" s="13">
        <v>214093</v>
      </c>
      <c r="ND55" s="13">
        <v>206087</v>
      </c>
      <c r="NE55" s="13">
        <v>199322</v>
      </c>
      <c r="NF55" s="13">
        <v>191434</v>
      </c>
      <c r="NG55" s="13">
        <v>183183</v>
      </c>
      <c r="NH55" s="13">
        <v>176148</v>
      </c>
      <c r="NI55" s="13">
        <v>166818</v>
      </c>
      <c r="NJ55" s="13">
        <v>158377</v>
      </c>
      <c r="NK55" s="13">
        <v>152251</v>
      </c>
      <c r="NL55" s="13">
        <v>144279</v>
      </c>
      <c r="NM55" s="13">
        <v>132555</v>
      </c>
      <c r="NN55" s="13">
        <v>123827</v>
      </c>
      <c r="NO55" s="13">
        <v>114044</v>
      </c>
      <c r="NP55" s="13">
        <v>101599</v>
      </c>
      <c r="NQ55" s="13">
        <v>90997</v>
      </c>
      <c r="NR55" s="13">
        <v>81039</v>
      </c>
      <c r="NS55" s="13">
        <v>68988</v>
      </c>
      <c r="NT55" s="13">
        <v>56088</v>
      </c>
      <c r="NU55" s="13">
        <v>48571</v>
      </c>
      <c r="NV55" s="13">
        <v>41075</v>
      </c>
      <c r="NW55" s="13">
        <v>35144</v>
      </c>
      <c r="NX55" s="13">
        <v>28780</v>
      </c>
      <c r="NY55" s="13">
        <v>22095</v>
      </c>
      <c r="NZ55" s="13">
        <v>16904</v>
      </c>
      <c r="OA55" s="13">
        <v>10394</v>
      </c>
      <c r="OB55" s="13">
        <v>7989</v>
      </c>
      <c r="OC55" s="13">
        <v>5682</v>
      </c>
      <c r="OD55" s="13">
        <v>3653</v>
      </c>
      <c r="OE55" s="13">
        <v>2556</v>
      </c>
      <c r="OF55" s="13">
        <v>1181</v>
      </c>
      <c r="OG55" s="13">
        <v>1070</v>
      </c>
    </row>
    <row r="56" spans="1:397">
      <c r="A56" s="13" t="s">
        <v>54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>
        <v>11</v>
      </c>
      <c r="IF56" s="13">
        <v>45</v>
      </c>
      <c r="IG56" s="13">
        <v>54</v>
      </c>
      <c r="IH56" s="13">
        <v>54</v>
      </c>
      <c r="II56" s="13">
        <v>57</v>
      </c>
      <c r="IJ56" s="13">
        <v>57</v>
      </c>
      <c r="IK56" s="13">
        <v>57</v>
      </c>
      <c r="IL56" s="13">
        <v>50</v>
      </c>
      <c r="IM56" s="13">
        <v>66</v>
      </c>
      <c r="IN56" s="13">
        <v>66</v>
      </c>
      <c r="IO56" s="13">
        <v>84</v>
      </c>
      <c r="IP56" s="13">
        <v>113</v>
      </c>
      <c r="IQ56" s="13">
        <v>167</v>
      </c>
      <c r="IR56" s="13">
        <v>157</v>
      </c>
      <c r="IS56" s="13">
        <v>168</v>
      </c>
      <c r="IT56" s="13">
        <v>183</v>
      </c>
      <c r="IU56" s="13">
        <v>213</v>
      </c>
      <c r="IV56" s="13">
        <v>297</v>
      </c>
      <c r="IW56" s="13">
        <v>383</v>
      </c>
      <c r="IX56" s="13">
        <v>516</v>
      </c>
      <c r="IY56" s="13">
        <v>640</v>
      </c>
      <c r="IZ56" s="13">
        <v>742</v>
      </c>
      <c r="JA56" s="13">
        <v>853</v>
      </c>
      <c r="JB56" s="13">
        <v>895</v>
      </c>
      <c r="JC56" s="13">
        <v>946</v>
      </c>
      <c r="JD56" s="13">
        <v>1015</v>
      </c>
      <c r="JE56" s="13">
        <v>1145</v>
      </c>
      <c r="JF56" s="13">
        <v>1228</v>
      </c>
      <c r="JG56" s="13">
        <v>1256</v>
      </c>
      <c r="JH56" s="13">
        <v>1327</v>
      </c>
      <c r="JI56" s="13">
        <v>1329</v>
      </c>
      <c r="JJ56" s="13">
        <v>1412</v>
      </c>
      <c r="JK56" s="13">
        <v>1324</v>
      </c>
      <c r="JL56" s="13">
        <v>1158</v>
      </c>
      <c r="JM56" s="13">
        <v>1106</v>
      </c>
      <c r="JN56" s="13">
        <v>1037</v>
      </c>
      <c r="JO56" s="13">
        <v>959</v>
      </c>
      <c r="JP56" s="13">
        <v>861</v>
      </c>
      <c r="JQ56" s="13">
        <v>837</v>
      </c>
      <c r="JR56" s="13">
        <v>844</v>
      </c>
      <c r="JS56" s="13">
        <v>828</v>
      </c>
      <c r="JT56" s="13">
        <v>797</v>
      </c>
      <c r="JU56" s="13">
        <v>812</v>
      </c>
      <c r="JV56" s="13">
        <v>812</v>
      </c>
      <c r="JW56" s="13">
        <v>865</v>
      </c>
      <c r="JX56" s="13">
        <v>984</v>
      </c>
      <c r="JY56" s="13">
        <v>983</v>
      </c>
      <c r="JZ56" s="13">
        <v>984</v>
      </c>
      <c r="KA56" s="13">
        <v>1001</v>
      </c>
      <c r="KB56" s="13">
        <v>1053</v>
      </c>
      <c r="KC56" s="13">
        <v>1072</v>
      </c>
      <c r="KD56" s="13">
        <v>1118</v>
      </c>
      <c r="KE56" s="13">
        <v>1192</v>
      </c>
      <c r="KF56" s="13">
        <v>1209</v>
      </c>
      <c r="KG56" s="13">
        <v>1280</v>
      </c>
      <c r="KH56" s="13">
        <v>1383</v>
      </c>
      <c r="KI56" s="13">
        <v>1378</v>
      </c>
      <c r="KJ56" s="13">
        <v>1434</v>
      </c>
      <c r="KK56" s="13">
        <v>1517</v>
      </c>
      <c r="KL56" s="13">
        <v>1675</v>
      </c>
      <c r="KM56" s="13">
        <v>1696</v>
      </c>
      <c r="KN56" s="13">
        <v>1728</v>
      </c>
      <c r="KO56" s="13">
        <v>1706</v>
      </c>
      <c r="KP56" s="13">
        <v>1712</v>
      </c>
      <c r="KQ56" s="13">
        <v>1723</v>
      </c>
      <c r="KR56" s="13">
        <v>1812</v>
      </c>
      <c r="KS56" s="13">
        <v>1893</v>
      </c>
      <c r="KT56" s="13">
        <v>1962</v>
      </c>
      <c r="KU56" s="13">
        <v>1906</v>
      </c>
      <c r="KV56" s="13">
        <v>1974</v>
      </c>
      <c r="KW56" s="13">
        <v>1997</v>
      </c>
      <c r="KX56" s="13">
        <v>1994</v>
      </c>
      <c r="KY56" s="13">
        <v>1934</v>
      </c>
      <c r="KZ56" s="13">
        <v>1868</v>
      </c>
      <c r="LA56" s="13">
        <v>1785</v>
      </c>
      <c r="LB56" s="13">
        <v>1815</v>
      </c>
      <c r="LC56" s="13">
        <v>1722</v>
      </c>
      <c r="LD56" s="13">
        <v>1703</v>
      </c>
      <c r="LE56" s="13">
        <v>1634</v>
      </c>
      <c r="LF56" s="13">
        <v>1650</v>
      </c>
      <c r="LG56" s="13">
        <v>1658</v>
      </c>
      <c r="LH56" s="13">
        <v>1611</v>
      </c>
      <c r="LI56" s="13">
        <v>1601</v>
      </c>
      <c r="LJ56" s="13">
        <v>1607</v>
      </c>
      <c r="LK56" s="13">
        <v>1436</v>
      </c>
      <c r="LL56" s="13">
        <v>1386</v>
      </c>
      <c r="LM56" s="13">
        <v>1222</v>
      </c>
      <c r="LN56" s="13">
        <v>1230</v>
      </c>
      <c r="LO56" s="13">
        <v>1217</v>
      </c>
      <c r="LP56" s="13">
        <v>1250</v>
      </c>
      <c r="LQ56" s="13">
        <v>1262</v>
      </c>
      <c r="LR56" s="13">
        <v>1352</v>
      </c>
      <c r="LS56" s="13">
        <v>1329</v>
      </c>
      <c r="LT56" s="13">
        <v>1344</v>
      </c>
      <c r="LU56" s="13">
        <v>1467</v>
      </c>
      <c r="LV56" s="13">
        <v>1491</v>
      </c>
      <c r="LW56" s="13">
        <v>1526</v>
      </c>
      <c r="LX56" s="13">
        <v>1771</v>
      </c>
      <c r="LY56" s="13">
        <v>2433</v>
      </c>
      <c r="LZ56" s="13">
        <v>3011</v>
      </c>
      <c r="MA56" s="13">
        <v>3463</v>
      </c>
      <c r="MB56" s="13">
        <v>3866</v>
      </c>
      <c r="MC56" s="13">
        <v>4122</v>
      </c>
      <c r="MD56" s="13">
        <v>4699</v>
      </c>
      <c r="ME56" s="13">
        <v>5281</v>
      </c>
      <c r="MF56" s="13">
        <v>5887</v>
      </c>
      <c r="MG56" s="13">
        <v>6810</v>
      </c>
      <c r="MH56" s="13">
        <v>7964</v>
      </c>
      <c r="MI56" s="13">
        <v>9066</v>
      </c>
      <c r="MJ56" s="13">
        <v>10832</v>
      </c>
      <c r="MK56" s="13">
        <v>13211</v>
      </c>
      <c r="ML56" s="13">
        <v>15587</v>
      </c>
      <c r="MM56" s="13">
        <v>18296</v>
      </c>
      <c r="MN56" s="13">
        <v>21063</v>
      </c>
      <c r="MO56" s="13">
        <v>22801</v>
      </c>
      <c r="MP56" s="13">
        <v>25290</v>
      </c>
      <c r="MQ56" s="13">
        <v>28400</v>
      </c>
      <c r="MR56" s="13">
        <v>32143</v>
      </c>
      <c r="MS56" s="13">
        <v>35766</v>
      </c>
      <c r="MT56" s="13">
        <v>39303</v>
      </c>
      <c r="MU56" s="13">
        <v>43122</v>
      </c>
      <c r="MV56" s="13">
        <v>46326</v>
      </c>
      <c r="MW56" s="13">
        <v>49438</v>
      </c>
      <c r="MX56" s="13">
        <v>53474</v>
      </c>
      <c r="MY56" s="13">
        <v>58575</v>
      </c>
      <c r="MZ56" s="13">
        <v>61181</v>
      </c>
      <c r="NA56" s="13">
        <v>62787</v>
      </c>
      <c r="NB56" s="13">
        <v>63126</v>
      </c>
      <c r="NC56" s="13">
        <v>65525</v>
      </c>
      <c r="ND56" s="13">
        <v>68345</v>
      </c>
      <c r="NE56" s="13">
        <v>69270</v>
      </c>
      <c r="NF56" s="13">
        <v>71613</v>
      </c>
      <c r="NG56" s="13">
        <v>74261</v>
      </c>
      <c r="NH56" s="13">
        <v>77323</v>
      </c>
      <c r="NI56" s="13">
        <v>77685</v>
      </c>
      <c r="NJ56" s="13">
        <v>77308</v>
      </c>
      <c r="NK56" s="13">
        <v>77195</v>
      </c>
      <c r="NL56" s="13">
        <v>76207</v>
      </c>
      <c r="NM56" s="13">
        <v>73127</v>
      </c>
      <c r="NN56" s="13">
        <v>70438</v>
      </c>
      <c r="NO56" s="13">
        <v>67802</v>
      </c>
      <c r="NP56" s="13">
        <v>64057</v>
      </c>
      <c r="NQ56" s="13">
        <v>64127</v>
      </c>
      <c r="NR56" s="13">
        <v>66764</v>
      </c>
      <c r="NS56" s="13">
        <v>58544</v>
      </c>
      <c r="NT56" s="13">
        <v>48171</v>
      </c>
      <c r="NU56" s="13">
        <v>43121</v>
      </c>
      <c r="NV56" s="13">
        <v>36838</v>
      </c>
      <c r="NW56" s="13">
        <v>32340</v>
      </c>
      <c r="NX56" s="13">
        <v>26632</v>
      </c>
      <c r="NY56" s="13">
        <v>20366</v>
      </c>
      <c r="NZ56" s="13">
        <v>15559</v>
      </c>
      <c r="OA56" s="13">
        <v>9103</v>
      </c>
      <c r="OB56" s="13">
        <v>1085</v>
      </c>
      <c r="OC56" s="13">
        <v>4711</v>
      </c>
      <c r="OD56" s="13">
        <v>2776</v>
      </c>
      <c r="OE56" s="13">
        <v>1693</v>
      </c>
      <c r="OF56" s="13">
        <v>426</v>
      </c>
      <c r="OG56" s="13">
        <v>331</v>
      </c>
    </row>
    <row r="57" spans="1:397">
      <c r="A57" s="13" t="s">
        <v>58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6">
        <f t="shared" ref="IE57" si="367">IE49/IE48</f>
        <v>0.93377852792250682</v>
      </c>
      <c r="IF57" s="16">
        <f t="shared" ref="IF57:IG57" si="368">IF49/IF48</f>
        <v>0.93377852792250682</v>
      </c>
      <c r="IG57" s="16">
        <f t="shared" si="368"/>
        <v>0.93377852792250682</v>
      </c>
      <c r="IH57" s="16">
        <f t="shared" ref="IH57" si="369">IH49/IH48</f>
        <v>0.93377852792250682</v>
      </c>
      <c r="II57" s="16">
        <f t="shared" ref="II57" si="370">II49/II48</f>
        <v>0.93377852792250682</v>
      </c>
      <c r="IJ57" s="16">
        <f t="shared" ref="IJ57:IK57" si="371">IJ49/IJ48</f>
        <v>0.93377852792250682</v>
      </c>
      <c r="IK57" s="16">
        <f t="shared" si="371"/>
        <v>0.93377852792250682</v>
      </c>
      <c r="IL57" s="16">
        <f t="shared" ref="IL57" si="372">IL49/IL48</f>
        <v>0.93377852792250682</v>
      </c>
      <c r="IM57" s="16">
        <f t="shared" ref="IM57:IN57" si="373">IM49/IM48</f>
        <v>0.93377852792250682</v>
      </c>
      <c r="IN57" s="16">
        <f t="shared" si="373"/>
        <v>0.93377852792250682</v>
      </c>
      <c r="IO57" s="16">
        <f t="shared" ref="IO57:IP57" si="374">IO49/IO48</f>
        <v>0.93377852792250682</v>
      </c>
      <c r="IP57" s="16">
        <f t="shared" si="374"/>
        <v>0.93377852792250682</v>
      </c>
      <c r="IQ57" s="16">
        <f t="shared" ref="IQ57:IR57" si="375">IQ49/IQ48</f>
        <v>0.93377852792250682</v>
      </c>
      <c r="IR57" s="16">
        <f t="shared" si="375"/>
        <v>0.93377852792250682</v>
      </c>
      <c r="IS57" s="16">
        <f t="shared" ref="IS57:IT57" si="376">IS49/IS48</f>
        <v>0.93377852792250682</v>
      </c>
      <c r="IT57" s="16">
        <f t="shared" si="376"/>
        <v>0.93377852792250682</v>
      </c>
      <c r="IU57" s="16">
        <f t="shared" ref="IU57:IV57" si="377">IU49/IU48</f>
        <v>0.93377852792250682</v>
      </c>
      <c r="IV57" s="16">
        <f t="shared" si="377"/>
        <v>0.93377852792250682</v>
      </c>
      <c r="IW57" s="16">
        <f t="shared" ref="IW57" si="378">IW49/IW48</f>
        <v>0.93377852792250682</v>
      </c>
      <c r="IX57" s="16">
        <f t="shared" ref="IX57" si="379">IX49/IX48</f>
        <v>0.93377852792250682</v>
      </c>
      <c r="IY57" s="16">
        <f t="shared" ref="IY57:JD57" si="380">IY49/IY48</f>
        <v>0.93377852792250682</v>
      </c>
      <c r="IZ57" s="16">
        <f t="shared" si="380"/>
        <v>0.93373449768841266</v>
      </c>
      <c r="JA57" s="16">
        <f t="shared" si="380"/>
        <v>0.93373449768841266</v>
      </c>
      <c r="JB57" s="16">
        <f t="shared" si="380"/>
        <v>0.93373449768841266</v>
      </c>
      <c r="JC57" s="16">
        <f t="shared" si="380"/>
        <v>0.93373449768841266</v>
      </c>
      <c r="JD57" s="16">
        <f t="shared" si="380"/>
        <v>0.93373449768841266</v>
      </c>
      <c r="JE57" s="16">
        <f t="shared" ref="JE57" si="381">JE49/JE48</f>
        <v>0.93373449768841266</v>
      </c>
      <c r="JF57" s="16">
        <f t="shared" ref="JF57" si="382">JF49/JF48</f>
        <v>0.93371982094371464</v>
      </c>
      <c r="JG57" s="16">
        <f t="shared" ref="JG57" si="383">JG49/JG48</f>
        <v>0.93371982094371464</v>
      </c>
      <c r="JH57" s="16">
        <f t="shared" ref="JH57:JI57" si="384">JH49/JH48</f>
        <v>0.93369046745431861</v>
      </c>
      <c r="JI57" s="16">
        <f t="shared" si="384"/>
        <v>0.93369046745431861</v>
      </c>
      <c r="JJ57" s="16">
        <f t="shared" ref="JJ57:JK57" si="385">JJ49/JJ48</f>
        <v>0.93369046745431861</v>
      </c>
      <c r="JK57" s="16">
        <f t="shared" si="385"/>
        <v>0.93369046745431861</v>
      </c>
      <c r="JL57" s="16">
        <f t="shared" ref="JL57:JM57" si="386">JL49/JL48</f>
        <v>0.93369046745431861</v>
      </c>
      <c r="JM57" s="16">
        <f t="shared" si="386"/>
        <v>0.93367579070962059</v>
      </c>
      <c r="JN57" s="16">
        <f t="shared" ref="JN57:JO57" si="387">JN49/JN48</f>
        <v>0.93367579070962059</v>
      </c>
      <c r="JO57" s="16">
        <f t="shared" si="387"/>
        <v>0.93367579070962059</v>
      </c>
      <c r="JP57" s="16">
        <f t="shared" ref="JP57:JQ57" si="388">JP49/JP48</f>
        <v>0.93367579070962059</v>
      </c>
      <c r="JQ57" s="16">
        <f t="shared" si="388"/>
        <v>0.93367579070962059</v>
      </c>
      <c r="JR57" s="16">
        <f t="shared" ref="JR57:JS57" si="389">JR49/JR48</f>
        <v>0.93367579070962059</v>
      </c>
      <c r="JS57" s="16">
        <f t="shared" si="389"/>
        <v>0.93368949423195469</v>
      </c>
      <c r="JT57" s="16">
        <f t="shared" ref="JT57" si="390">JT49/JT48</f>
        <v>0.93368949423195469</v>
      </c>
      <c r="JU57" s="16">
        <f t="shared" ref="JU57:JV57" si="391">JU49/JU48</f>
        <v>0.93368949423195469</v>
      </c>
      <c r="JV57" s="16">
        <f t="shared" si="391"/>
        <v>0.93368949423195469</v>
      </c>
      <c r="JW57" s="16">
        <f t="shared" ref="JW57:JX57" si="392">JW49/JW48</f>
        <v>0.93368949423195469</v>
      </c>
      <c r="JX57" s="16">
        <f t="shared" si="392"/>
        <v>0.93368949423195469</v>
      </c>
      <c r="JY57" s="16">
        <f t="shared" ref="JY57:JZ57" si="393">JY49/JY48</f>
        <v>0.93368949423195469</v>
      </c>
      <c r="JZ57" s="16">
        <f t="shared" si="393"/>
        <v>0.93368949423195469</v>
      </c>
      <c r="KA57" s="16">
        <f t="shared" ref="KA57:KB57" si="394">KA49/KA48</f>
        <v>0.9337580178778494</v>
      </c>
      <c r="KB57" s="16">
        <f t="shared" si="394"/>
        <v>0.9337717238139972</v>
      </c>
      <c r="KC57" s="16">
        <f t="shared" ref="KC57:KD57" si="395">KC49/KC48</f>
        <v>0.9337717238139972</v>
      </c>
      <c r="KD57" s="16">
        <f t="shared" si="395"/>
        <v>0.9337717238139972</v>
      </c>
      <c r="KE57" s="16">
        <f t="shared" ref="KE57:KF57" si="396">KE49/KE48</f>
        <v>0.9337717238139972</v>
      </c>
      <c r="KF57" s="16">
        <f t="shared" si="396"/>
        <v>0.9337717238139972</v>
      </c>
      <c r="KG57" s="16">
        <f t="shared" ref="KG57:KH57" si="397">KG49/KG48</f>
        <v>0.9337717238139972</v>
      </c>
      <c r="KH57" s="16">
        <f t="shared" si="397"/>
        <v>0.9337717238139972</v>
      </c>
      <c r="KI57" s="16">
        <f t="shared" ref="KI57:KN57" si="398">KI49/KI48</f>
        <v>0.9337717238139972</v>
      </c>
      <c r="KJ57" s="16">
        <f t="shared" si="398"/>
        <v>0.9337717238139972</v>
      </c>
      <c r="KK57" s="16">
        <f t="shared" si="398"/>
        <v>0.9337717238139972</v>
      </c>
      <c r="KL57" s="16">
        <f t="shared" si="398"/>
        <v>0.9337717238139972</v>
      </c>
      <c r="KM57" s="16">
        <f t="shared" si="398"/>
        <v>0.9337717238139972</v>
      </c>
      <c r="KN57" s="16">
        <f t="shared" si="398"/>
        <v>0.9337717238139972</v>
      </c>
      <c r="KO57" s="16">
        <f t="shared" ref="KO57:ND57" si="399">KO49/KO48</f>
        <v>0.93359558478158755</v>
      </c>
      <c r="KP57" s="16">
        <f t="shared" si="399"/>
        <v>0.93343412400187886</v>
      </c>
      <c r="KQ57" s="16">
        <f t="shared" si="399"/>
        <v>0.93308184593705967</v>
      </c>
      <c r="KR57" s="16">
        <f t="shared" si="399"/>
        <v>0.93275892437764207</v>
      </c>
      <c r="KS57" s="16">
        <f t="shared" si="399"/>
        <v>0.9323479333020197</v>
      </c>
      <c r="KT57" s="16">
        <f t="shared" si="399"/>
        <v>0.93227454203851579</v>
      </c>
      <c r="KU57" s="16">
        <f t="shared" si="399"/>
        <v>0.93223050728041335</v>
      </c>
      <c r="KV57" s="16">
        <f t="shared" si="399"/>
        <v>0.93217179426961017</v>
      </c>
      <c r="KW57" s="16">
        <f t="shared" si="399"/>
        <v>0.93198097698449978</v>
      </c>
      <c r="KX57" s="16">
        <f t="shared" si="399"/>
        <v>0.93187822921559416</v>
      </c>
      <c r="KY57" s="16">
        <f t="shared" si="399"/>
        <v>0.95032668171024881</v>
      </c>
      <c r="KZ57" s="16">
        <f t="shared" si="399"/>
        <v>0.94983997758211292</v>
      </c>
      <c r="LA57" s="16">
        <f t="shared" si="399"/>
        <v>0.94926478179431584</v>
      </c>
      <c r="LB57" s="16">
        <f t="shared" si="399"/>
        <v>0.94889606654572811</v>
      </c>
      <c r="LC57" s="16">
        <f t="shared" si="399"/>
        <v>0.94805539577894782</v>
      </c>
      <c r="LD57" s="16">
        <f t="shared" si="399"/>
        <v>0.94780466940990815</v>
      </c>
      <c r="LE57" s="16">
        <f t="shared" si="399"/>
        <v>0.94739170833148978</v>
      </c>
      <c r="LF57" s="16">
        <f t="shared" si="399"/>
        <v>0.94666902644425766</v>
      </c>
      <c r="LG57" s="16">
        <f t="shared" si="399"/>
        <v>0.94600533899679951</v>
      </c>
      <c r="LH57" s="16">
        <f t="shared" si="399"/>
        <v>0.94498768491069718</v>
      </c>
      <c r="LI57" s="16">
        <f t="shared" si="399"/>
        <v>0.9441175169240299</v>
      </c>
      <c r="LJ57" s="16">
        <f t="shared" si="399"/>
        <v>0.94309986283792757</v>
      </c>
      <c r="LK57" s="16">
        <f t="shared" si="399"/>
        <v>0.94040086721826466</v>
      </c>
      <c r="LL57" s="16">
        <f t="shared" si="399"/>
        <v>0.93820241290817386</v>
      </c>
      <c r="LM57" s="16">
        <f t="shared" si="399"/>
        <v>0.93612282823515536</v>
      </c>
      <c r="LN57" s="16">
        <f t="shared" si="399"/>
        <v>0.93398424825226389</v>
      </c>
      <c r="LO57" s="16">
        <f t="shared" si="399"/>
        <v>0.93144643884308487</v>
      </c>
      <c r="LP57" s="16">
        <f t="shared" si="399"/>
        <v>0.92744944764826476</v>
      </c>
      <c r="LQ57" s="16">
        <f t="shared" si="399"/>
        <v>0.92277400038347512</v>
      </c>
      <c r="LR57" s="16">
        <f t="shared" si="399"/>
        <v>0.9158861963687851</v>
      </c>
      <c r="LS57" s="16">
        <f t="shared" si="399"/>
        <v>0.91047329685402867</v>
      </c>
      <c r="LT57" s="16">
        <f t="shared" si="399"/>
        <v>0.90265630300438049</v>
      </c>
      <c r="LU57" s="16">
        <f t="shared" si="399"/>
        <v>0.89688942640963998</v>
      </c>
      <c r="LV57" s="16">
        <f t="shared" si="399"/>
        <v>0.88970664149496315</v>
      </c>
      <c r="LW57" s="16">
        <f t="shared" si="399"/>
        <v>0.88317109144542771</v>
      </c>
      <c r="LX57" s="16">
        <f t="shared" si="399"/>
        <v>0.87657817109144542</v>
      </c>
      <c r="LY57" s="16">
        <f t="shared" si="399"/>
        <v>0.86935103244837764</v>
      </c>
      <c r="LZ57" s="16">
        <f t="shared" si="399"/>
        <v>0.86107669616519178</v>
      </c>
      <c r="MA57" s="16">
        <f t="shared" si="399"/>
        <v>0.85070796460176989</v>
      </c>
      <c r="MB57" s="16">
        <f t="shared" si="399"/>
        <v>0.83898230088495573</v>
      </c>
      <c r="MC57" s="16">
        <f t="shared" si="399"/>
        <v>0.82577914128526975</v>
      </c>
      <c r="MD57" s="16">
        <f t="shared" si="399"/>
        <v>0.81261984129325349</v>
      </c>
      <c r="ME57" s="16">
        <f t="shared" si="399"/>
        <v>0.80063132430598583</v>
      </c>
      <c r="MF57" s="16">
        <f t="shared" si="399"/>
        <v>0.78098539607611739</v>
      </c>
      <c r="MG57" s="16">
        <f t="shared" si="399"/>
        <v>0.76052577228336238</v>
      </c>
      <c r="MH57" s="16">
        <f t="shared" si="399"/>
        <v>0.74206636077956944</v>
      </c>
      <c r="MI57" s="16">
        <f t="shared" si="399"/>
        <v>0.72382807312646624</v>
      </c>
      <c r="MJ57" s="16">
        <f t="shared" si="399"/>
        <v>0.70225796930342388</v>
      </c>
      <c r="MK57" s="16">
        <f t="shared" si="399"/>
        <v>0.68542875278626569</v>
      </c>
      <c r="ML57" s="16">
        <f t="shared" si="399"/>
        <v>0.66479093742153694</v>
      </c>
      <c r="MM57" s="16">
        <f t="shared" si="399"/>
        <v>0.64239056542428985</v>
      </c>
      <c r="MN57" s="16">
        <f t="shared" si="399"/>
        <v>0.62087229257900345</v>
      </c>
      <c r="MO57" s="16">
        <f t="shared" si="399"/>
        <v>0.59999110663148847</v>
      </c>
      <c r="MP57" s="16">
        <f t="shared" si="399"/>
        <v>0.57262520049901977</v>
      </c>
      <c r="MQ57" s="16">
        <f t="shared" si="399"/>
        <v>0.53806328756118249</v>
      </c>
      <c r="MR57" s="16">
        <f t="shared" si="399"/>
        <v>0.5030624562240138</v>
      </c>
      <c r="MS57" s="16">
        <f t="shared" si="399"/>
        <v>0.46612462074222427</v>
      </c>
      <c r="MT57" s="16">
        <f t="shared" si="399"/>
        <v>0.43557893784765667</v>
      </c>
      <c r="MU57" s="16">
        <f t="shared" si="399"/>
        <v>0.4005674060138969</v>
      </c>
      <c r="MV57" s="16">
        <f t="shared" si="399"/>
        <v>0.35368010244527104</v>
      </c>
      <c r="MW57" s="16">
        <f t="shared" si="399"/>
        <v>0.32080015954101276</v>
      </c>
      <c r="MX57" s="16">
        <f t="shared" si="399"/>
        <v>0.29101966474238261</v>
      </c>
      <c r="MY57" s="16">
        <f t="shared" si="399"/>
        <v>0.26036368161525658</v>
      </c>
      <c r="MZ57" s="16">
        <f t="shared" si="399"/>
        <v>0.2387335372323825</v>
      </c>
      <c r="NA57" s="16">
        <f t="shared" si="399"/>
        <v>0.21365083367478804</v>
      </c>
      <c r="NB57" s="16">
        <f t="shared" si="399"/>
        <v>0.18685011412629976</v>
      </c>
      <c r="NC57" s="16">
        <f t="shared" si="399"/>
        <v>0.1655058680372096</v>
      </c>
      <c r="ND57" s="16">
        <f t="shared" si="399"/>
        <v>0.14798482539476671</v>
      </c>
      <c r="NE57" s="16">
        <f t="shared" ref="NE57:OG57" si="400">NE49/NE48</f>
        <v>0.13105736051609462</v>
      </c>
      <c r="NF57" s="16">
        <f t="shared" si="400"/>
        <v>0.11410745591420027</v>
      </c>
      <c r="NG57" s="16">
        <f t="shared" si="400"/>
        <v>9.9966221621717713E-2</v>
      </c>
      <c r="NH57" s="16">
        <f t="shared" si="400"/>
        <v>8.7747674888799032E-2</v>
      </c>
      <c r="NI57" s="16">
        <f t="shared" si="400"/>
        <v>7.4289231716231294E-2</v>
      </c>
      <c r="NJ57" s="16">
        <f t="shared" si="400"/>
        <v>7.1381155872712945E-2</v>
      </c>
      <c r="NK57" s="16">
        <f t="shared" si="400"/>
        <v>7.9092489360426788E-2</v>
      </c>
      <c r="NL57" s="16">
        <f t="shared" si="400"/>
        <v>7.0032778618255173E-2</v>
      </c>
      <c r="NM57" s="16">
        <f t="shared" si="400"/>
        <v>6.0578448246768585E-2</v>
      </c>
      <c r="NN57" s="16">
        <f t="shared" si="400"/>
        <v>5.309963099630996E-2</v>
      </c>
      <c r="NO57" s="16">
        <f t="shared" si="400"/>
        <v>4.4684005931150565E-2</v>
      </c>
      <c r="NP57" s="16">
        <f t="shared" si="400"/>
        <v>3.6948263386396528E-2</v>
      </c>
      <c r="NQ57" s="16">
        <f t="shared" si="400"/>
        <v>3.2189168573607936E-2</v>
      </c>
      <c r="NR57" s="16">
        <f t="shared" si="400"/>
        <v>3.1178798417076388E-2</v>
      </c>
      <c r="NS57" s="16">
        <f t="shared" si="400"/>
        <v>2.9285608637775476E-2</v>
      </c>
      <c r="NT57" s="16">
        <f t="shared" si="400"/>
        <v>2.6393486624317796E-2</v>
      </c>
      <c r="NU57" s="16">
        <f t="shared" si="400"/>
        <v>2.3694070972007934E-2</v>
      </c>
      <c r="NV57" s="16">
        <f t="shared" si="400"/>
        <v>2.3207045994687543E-2</v>
      </c>
      <c r="NW57" s="16">
        <f t="shared" si="400"/>
        <v>1.9979331725800895E-2</v>
      </c>
      <c r="NX57" s="16">
        <f t="shared" si="400"/>
        <v>1.9624945486262538E-2</v>
      </c>
      <c r="NY57" s="16">
        <f t="shared" si="400"/>
        <v>2.2509848058525603E-2</v>
      </c>
      <c r="NZ57" s="16">
        <f t="shared" si="400"/>
        <v>1.7317612380250553E-2</v>
      </c>
      <c r="OA57" s="16">
        <f t="shared" si="400"/>
        <v>3.0920590302178495E-2</v>
      </c>
      <c r="OB57" s="16">
        <f t="shared" si="400"/>
        <v>3.9923954372623575E-2</v>
      </c>
      <c r="OC57" s="16">
        <f t="shared" si="400"/>
        <v>4.38957475994513E-2</v>
      </c>
      <c r="OD57" s="16">
        <f t="shared" si="400"/>
        <v>5.6466302367941715E-2</v>
      </c>
      <c r="OE57" s="16">
        <f t="shared" si="400"/>
        <v>6.3063063063063057E-2</v>
      </c>
      <c r="OF57" s="16">
        <f t="shared" si="400"/>
        <v>7.4666666666666673E-2</v>
      </c>
      <c r="OG57" s="16">
        <f t="shared" si="400"/>
        <v>9.2592592592592587E-2</v>
      </c>
    </row>
    <row r="58" spans="1:397">
      <c r="A58" s="13" t="s">
        <v>61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6">
        <f t="shared" ref="IE58" si="401">(IE53+IE50)/IE48</f>
        <v>6.622147207749321E-2</v>
      </c>
      <c r="IF58" s="16">
        <f t="shared" ref="IF58:IG58" si="402">(IF53+IF50)/IF48</f>
        <v>6.622147207749321E-2</v>
      </c>
      <c r="IG58" s="16">
        <f t="shared" si="402"/>
        <v>6.622147207749321E-2</v>
      </c>
      <c r="IH58" s="16">
        <f t="shared" ref="IH58" si="403">(IH53+IH50)/IH48</f>
        <v>6.622147207749321E-2</v>
      </c>
      <c r="II58" s="16">
        <f t="shared" ref="II58" si="404">(II53+II50)/II48</f>
        <v>6.622147207749321E-2</v>
      </c>
      <c r="IJ58" s="16">
        <f t="shared" ref="IJ58:IK58" si="405">(IJ53+IJ50)/IJ48</f>
        <v>6.622147207749321E-2</v>
      </c>
      <c r="IK58" s="16">
        <f t="shared" si="405"/>
        <v>6.622147207749321E-2</v>
      </c>
      <c r="IL58" s="16">
        <f t="shared" ref="IL58" si="406">(IL53+IL50)/IL48</f>
        <v>6.622147207749321E-2</v>
      </c>
      <c r="IM58" s="16">
        <f t="shared" ref="IM58:IN58" si="407">(IM53+IM50)/IM48</f>
        <v>6.622147207749321E-2</v>
      </c>
      <c r="IN58" s="16">
        <f t="shared" si="407"/>
        <v>6.622147207749321E-2</v>
      </c>
      <c r="IO58" s="16">
        <f t="shared" ref="IO58:IP58" si="408">(IO53+IO50)/IO48</f>
        <v>6.622147207749321E-2</v>
      </c>
      <c r="IP58" s="16">
        <f t="shared" si="408"/>
        <v>6.622147207749321E-2</v>
      </c>
      <c r="IQ58" s="16">
        <f t="shared" ref="IQ58:IR58" si="409">(IQ53+IQ50)/IQ48</f>
        <v>6.622147207749321E-2</v>
      </c>
      <c r="IR58" s="16">
        <f t="shared" si="409"/>
        <v>6.622147207749321E-2</v>
      </c>
      <c r="IS58" s="16">
        <f t="shared" ref="IS58:IT58" si="410">(IS53+IS50)/IS48</f>
        <v>6.622147207749321E-2</v>
      </c>
      <c r="IT58" s="16">
        <f t="shared" si="410"/>
        <v>6.622147207749321E-2</v>
      </c>
      <c r="IU58" s="16">
        <f t="shared" ref="IU58:IV58" si="411">(IU53+IU50)/IU48</f>
        <v>6.622147207749321E-2</v>
      </c>
      <c r="IV58" s="16">
        <f t="shared" si="411"/>
        <v>6.622147207749321E-2</v>
      </c>
      <c r="IW58" s="16">
        <f t="shared" ref="IW58" si="412">(IW53+IW50)/IW48</f>
        <v>6.622147207749321E-2</v>
      </c>
      <c r="IX58" s="16">
        <f t="shared" ref="IX58" si="413">(IX53+IX50)/IX48</f>
        <v>6.622147207749321E-2</v>
      </c>
      <c r="IY58" s="16">
        <f t="shared" ref="IY58:JD58" si="414">(IY53+IY50)/IY48</f>
        <v>6.622147207749321E-2</v>
      </c>
      <c r="IZ58" s="16">
        <f t="shared" si="414"/>
        <v>6.622147207749321E-2</v>
      </c>
      <c r="JA58" s="16">
        <f t="shared" si="414"/>
        <v>6.622147207749321E-2</v>
      </c>
      <c r="JB58" s="16">
        <f t="shared" si="414"/>
        <v>6.622147207749321E-2</v>
      </c>
      <c r="JC58" s="16">
        <f t="shared" si="414"/>
        <v>6.622147207749321E-2</v>
      </c>
      <c r="JD58" s="16">
        <f t="shared" si="414"/>
        <v>6.622147207749321E-2</v>
      </c>
      <c r="JE58" s="16">
        <f t="shared" ref="JE58" si="415">(JE53+JE50)/JE48</f>
        <v>6.622147207749321E-2</v>
      </c>
      <c r="JF58" s="16">
        <f t="shared" ref="JF58" si="416">(JF53+JF50)/JF48</f>
        <v>6.622147207749321E-2</v>
      </c>
      <c r="JG58" s="16">
        <f t="shared" ref="JG58" si="417">(JG53+JG50)/JG48</f>
        <v>6.622147207749321E-2</v>
      </c>
      <c r="JH58" s="16">
        <f t="shared" ref="JH58:JI58" si="418">(JH53+JH50)/JH48</f>
        <v>6.623614882219124E-2</v>
      </c>
      <c r="JI58" s="16">
        <f t="shared" si="418"/>
        <v>6.623614882219124E-2</v>
      </c>
      <c r="JJ58" s="16">
        <f t="shared" ref="JJ58:JK58" si="419">(JJ53+JJ50)/JJ48</f>
        <v>6.623614882219124E-2</v>
      </c>
      <c r="JK58" s="16">
        <f t="shared" si="419"/>
        <v>6.623614882219124E-2</v>
      </c>
      <c r="JL58" s="16">
        <f t="shared" ref="JL58:JM58" si="420">(JL53+JL50)/JL48</f>
        <v>6.623614882219124E-2</v>
      </c>
      <c r="JM58" s="16">
        <f t="shared" si="420"/>
        <v>6.623614882219124E-2</v>
      </c>
      <c r="JN58" s="16">
        <f t="shared" ref="JN58:JO58" si="421">(JN53+JN50)/JN48</f>
        <v>6.623614882219124E-2</v>
      </c>
      <c r="JO58" s="16">
        <f t="shared" si="421"/>
        <v>6.623614882219124E-2</v>
      </c>
      <c r="JP58" s="16">
        <f t="shared" ref="JP58:JQ58" si="422">(JP53+JP50)/JP48</f>
        <v>6.623614882219124E-2</v>
      </c>
      <c r="JQ58" s="16">
        <f t="shared" si="422"/>
        <v>6.623614882219124E-2</v>
      </c>
      <c r="JR58" s="16">
        <f t="shared" ref="JR58:JS58" si="423">(JR53+JR50)/JR48</f>
        <v>6.623614882219124E-2</v>
      </c>
      <c r="JS58" s="16">
        <f t="shared" si="423"/>
        <v>6.6237120967505211E-2</v>
      </c>
      <c r="JT58" s="16">
        <f t="shared" ref="JT58" si="424">(JT53+JT50)/JT48</f>
        <v>6.6237120967505211E-2</v>
      </c>
      <c r="JU58" s="16">
        <f t="shared" ref="JU58:JV58" si="425">(JU53+JU50)/JU48</f>
        <v>6.6237120967505211E-2</v>
      </c>
      <c r="JV58" s="16">
        <f t="shared" si="425"/>
        <v>6.6237120967505211E-2</v>
      </c>
      <c r="JW58" s="16">
        <f t="shared" ref="JW58:JX58" si="426">(JW53+JW50)/JW48</f>
        <v>6.6237120967505211E-2</v>
      </c>
      <c r="JX58" s="16">
        <f t="shared" si="426"/>
        <v>6.6237120967505211E-2</v>
      </c>
      <c r="JY58" s="16">
        <f t="shared" ref="JY58:JZ58" si="427">(JY53+JY50)/JY48</f>
        <v>6.6237120967505211E-2</v>
      </c>
      <c r="JZ58" s="16">
        <f t="shared" si="427"/>
        <v>6.6222444007397185E-2</v>
      </c>
      <c r="KA58" s="16">
        <f t="shared" ref="KA58:KB58" si="428">(KA53+KA50)/KA48</f>
        <v>6.622730408489777E-2</v>
      </c>
      <c r="KB58" s="16">
        <f t="shared" si="428"/>
        <v>6.6228276186002813E-2</v>
      </c>
      <c r="KC58" s="16">
        <f t="shared" ref="KC58:KD58" si="429">(KC53+KC50)/KC48</f>
        <v>6.6228276186002813E-2</v>
      </c>
      <c r="KD58" s="16">
        <f t="shared" si="429"/>
        <v>6.6228276186002813E-2</v>
      </c>
      <c r="KE58" s="16">
        <f t="shared" ref="KE58:KF58" si="430">(KE53+KE50)/KE48</f>
        <v>6.6228276186002813E-2</v>
      </c>
      <c r="KF58" s="16">
        <f t="shared" si="430"/>
        <v>6.6228276186002813E-2</v>
      </c>
      <c r="KG58" s="16">
        <f t="shared" ref="KG58:KH58" si="431">(KG53+KG50)/KG48</f>
        <v>6.6228276186002813E-2</v>
      </c>
      <c r="KH58" s="16">
        <f t="shared" si="431"/>
        <v>6.6228276186002813E-2</v>
      </c>
      <c r="KI58" s="16">
        <f t="shared" ref="KI58:KJ58" si="432">(KI53+KI50)/KI48</f>
        <v>6.6228276186002813E-2</v>
      </c>
      <c r="KJ58" s="16">
        <f t="shared" si="432"/>
        <v>6.6228276186002813E-2</v>
      </c>
      <c r="KK58" s="16">
        <f t="shared" ref="KK58:KL58" si="433">(KK53+KK50)/KK48</f>
        <v>6.6228276186002813E-2</v>
      </c>
      <c r="KL58" s="16">
        <f t="shared" si="433"/>
        <v>6.6228276186002813E-2</v>
      </c>
      <c r="KM58" s="16">
        <f t="shared" ref="KM58:ND58" si="434">(KM53+KM50)/KM48</f>
        <v>6.6228276186002813E-2</v>
      </c>
      <c r="KN58" s="16">
        <f t="shared" si="434"/>
        <v>6.6228276186002813E-2</v>
      </c>
      <c r="KO58" s="16">
        <f t="shared" si="434"/>
        <v>6.6228276186002813E-2</v>
      </c>
      <c r="KP58" s="16">
        <f t="shared" si="434"/>
        <v>6.6228276186002813E-2</v>
      </c>
      <c r="KQ58" s="16">
        <f t="shared" si="434"/>
        <v>6.6228276186002813E-2</v>
      </c>
      <c r="KR58" s="16">
        <f t="shared" si="434"/>
        <v>6.6242954438703622E-2</v>
      </c>
      <c r="KS58" s="16">
        <f t="shared" si="434"/>
        <v>6.6404415218412394E-2</v>
      </c>
      <c r="KT58" s="16">
        <f t="shared" si="434"/>
        <v>6.6419093471113202E-2</v>
      </c>
      <c r="KU58" s="16">
        <f t="shared" si="434"/>
        <v>6.6433771723813997E-2</v>
      </c>
      <c r="KV58" s="16">
        <f t="shared" si="434"/>
        <v>6.6463128229215587E-2</v>
      </c>
      <c r="KW58" s="16">
        <f t="shared" si="434"/>
        <v>6.6492484734617191E-2</v>
      </c>
      <c r="KX58" s="16">
        <f t="shared" si="434"/>
        <v>6.6477806481916396E-2</v>
      </c>
      <c r="KY58" s="16">
        <f t="shared" si="434"/>
        <v>4.7814993436868576E-2</v>
      </c>
      <c r="KZ58" s="16">
        <f t="shared" si="434"/>
        <v>4.8006725366134241E-2</v>
      </c>
      <c r="LA58" s="16">
        <f t="shared" si="434"/>
        <v>4.8050971195964777E-2</v>
      </c>
      <c r="LB58" s="16">
        <f t="shared" si="434"/>
        <v>4.8050971195964777E-2</v>
      </c>
      <c r="LC58" s="16">
        <f t="shared" si="434"/>
        <v>4.8109965635738834E-2</v>
      </c>
      <c r="LD58" s="16">
        <f t="shared" si="434"/>
        <v>4.8124714245682342E-2</v>
      </c>
      <c r="LE58" s="16">
        <f t="shared" si="434"/>
        <v>4.815421146556937E-2</v>
      </c>
      <c r="LF58" s="16">
        <f t="shared" si="434"/>
        <v>4.8404937834609085E-2</v>
      </c>
      <c r="LG58" s="16">
        <f t="shared" si="434"/>
        <v>4.847868088432665E-2</v>
      </c>
      <c r="LH58" s="16">
        <f t="shared" si="434"/>
        <v>4.8449183664439628E-2</v>
      </c>
      <c r="LI58" s="16">
        <f t="shared" si="434"/>
        <v>4.8626166983761779E-2</v>
      </c>
      <c r="LJ58" s="16">
        <f t="shared" si="434"/>
        <v>4.8758904473253394E-2</v>
      </c>
      <c r="LK58" s="16">
        <f t="shared" si="434"/>
        <v>4.8906390572688523E-2</v>
      </c>
      <c r="LL58" s="16">
        <f t="shared" si="434"/>
        <v>4.8862865402200528E-2</v>
      </c>
      <c r="LM58" s="16">
        <f t="shared" si="434"/>
        <v>4.8951358367009826E-2</v>
      </c>
      <c r="LN58" s="16">
        <f t="shared" si="434"/>
        <v>4.8921860712073391E-2</v>
      </c>
      <c r="LO58" s="16">
        <f t="shared" si="434"/>
        <v>4.9173316027787198E-2</v>
      </c>
      <c r="LP58" s="16">
        <f t="shared" si="434"/>
        <v>4.9556791197769942E-2</v>
      </c>
      <c r="LQ58" s="16">
        <f t="shared" si="434"/>
        <v>4.9807524962758663E-2</v>
      </c>
      <c r="LR58" s="16">
        <f t="shared" si="434"/>
        <v>5.020574917774074E-2</v>
      </c>
      <c r="LS58" s="16">
        <f t="shared" si="434"/>
        <v>5.0426984852730783E-2</v>
      </c>
      <c r="LT58" s="16">
        <f t="shared" si="434"/>
        <v>5.0972699517706228E-2</v>
      </c>
      <c r="LU58" s="16">
        <f t="shared" si="434"/>
        <v>5.1341425642689634E-2</v>
      </c>
      <c r="LV58" s="16">
        <f t="shared" si="434"/>
        <v>5.1562661317679677E-2</v>
      </c>
      <c r="LW58" s="16">
        <f t="shared" si="434"/>
        <v>5.1976401179941005E-2</v>
      </c>
      <c r="LX58" s="16">
        <f t="shared" si="434"/>
        <v>5.2168141592920353E-2</v>
      </c>
      <c r="LY58" s="16">
        <f t="shared" si="434"/>
        <v>5.2286135693215337E-2</v>
      </c>
      <c r="LZ58" s="16">
        <f t="shared" si="434"/>
        <v>5.2699115044247791E-2</v>
      </c>
      <c r="MA58" s="16">
        <f t="shared" si="434"/>
        <v>5.3023598820058998E-2</v>
      </c>
      <c r="MB58" s="16">
        <f t="shared" si="434"/>
        <v>5.3466076696165189E-2</v>
      </c>
      <c r="MC58" s="16">
        <f t="shared" si="434"/>
        <v>5.3835602295019103E-2</v>
      </c>
      <c r="MD58" s="16">
        <f t="shared" si="434"/>
        <v>5.4146140004129914E-2</v>
      </c>
      <c r="ME58" s="16">
        <f t="shared" si="434"/>
        <v>5.4532849514706314E-2</v>
      </c>
      <c r="MF58" s="16">
        <f t="shared" si="434"/>
        <v>5.4904853223189262E-2</v>
      </c>
      <c r="MG58" s="16">
        <f t="shared" si="434"/>
        <v>5.5453928539816483E-2</v>
      </c>
      <c r="MH58" s="16">
        <f t="shared" si="434"/>
        <v>5.5812100736194512E-2</v>
      </c>
      <c r="MI58" s="16">
        <f t="shared" si="434"/>
        <v>5.6733507443967358E-2</v>
      </c>
      <c r="MJ58" s="16">
        <f t="shared" si="434"/>
        <v>5.7113341204250295E-2</v>
      </c>
      <c r="MK58" s="16">
        <f t="shared" si="434"/>
        <v>5.7526238873389132E-2</v>
      </c>
      <c r="ML58" s="16">
        <f t="shared" si="434"/>
        <v>5.7896524731563946E-2</v>
      </c>
      <c r="MM58" s="16">
        <f t="shared" si="434"/>
        <v>5.7975940649661571E-2</v>
      </c>
      <c r="MN58" s="16">
        <f t="shared" si="434"/>
        <v>5.8098591549295774E-2</v>
      </c>
      <c r="MO58" s="16">
        <f t="shared" si="434"/>
        <v>5.8444253401713456E-2</v>
      </c>
      <c r="MP58" s="16">
        <f t="shared" si="434"/>
        <v>5.9525931206558545E-2</v>
      </c>
      <c r="MQ58" s="16">
        <f t="shared" si="434"/>
        <v>5.9806299001740629E-2</v>
      </c>
      <c r="MR58" s="16">
        <f t="shared" si="434"/>
        <v>6.0042024946723692E-2</v>
      </c>
      <c r="MS58" s="16">
        <f t="shared" si="434"/>
        <v>5.9933938152958582E-2</v>
      </c>
      <c r="MT58" s="16">
        <f t="shared" si="434"/>
        <v>6.0916230761113709E-2</v>
      </c>
      <c r="MU58" s="16">
        <f t="shared" si="434"/>
        <v>6.1367842946870164E-2</v>
      </c>
      <c r="MV58" s="16">
        <f t="shared" si="434"/>
        <v>6.1650100615891212E-2</v>
      </c>
      <c r="MW58" s="16">
        <f t="shared" si="434"/>
        <v>6.2911316673569889E-2</v>
      </c>
      <c r="MX58" s="16">
        <f t="shared" si="434"/>
        <v>6.4026178495353928E-2</v>
      </c>
      <c r="MY58" s="16">
        <f t="shared" si="434"/>
        <v>6.4538709225815477E-2</v>
      </c>
      <c r="MZ58" s="16">
        <f t="shared" si="434"/>
        <v>6.5398539417015164E-2</v>
      </c>
      <c r="NA58" s="16">
        <f t="shared" si="434"/>
        <v>7.4731301415198417E-2</v>
      </c>
      <c r="NB58" s="16">
        <f t="shared" si="434"/>
        <v>6.5971341618057316E-2</v>
      </c>
      <c r="NC58" s="16">
        <f t="shared" si="434"/>
        <v>6.5308932545591364E-2</v>
      </c>
      <c r="ND58" s="16">
        <f t="shared" si="434"/>
        <v>6.2870853733666229E-2</v>
      </c>
      <c r="NE58" s="16">
        <f t="shared" ref="NE58:OA58" si="435">(NE53+NE50)/NE48</f>
        <v>6.0711130373901884E-2</v>
      </c>
      <c r="NF58" s="16">
        <f t="shared" si="435"/>
        <v>5.9623251177340068E-2</v>
      </c>
      <c r="NG58" s="16">
        <f t="shared" si="435"/>
        <v>6.3165567387864677E-2</v>
      </c>
      <c r="NH58" s="16">
        <f t="shared" si="435"/>
        <v>6.1261625556004853E-2</v>
      </c>
      <c r="NI58" s="16">
        <f t="shared" si="435"/>
        <v>5.7765552264071096E-2</v>
      </c>
      <c r="NJ58" s="16">
        <f t="shared" si="435"/>
        <v>5.6984607725179437E-2</v>
      </c>
      <c r="NK58" s="16">
        <f t="shared" si="435"/>
        <v>7.7474075406102016E-2</v>
      </c>
      <c r="NL58" s="16">
        <f t="shared" si="435"/>
        <v>7.1608673726676758E-2</v>
      </c>
      <c r="NM58" s="16">
        <f t="shared" si="435"/>
        <v>7.1107961256791877E-2</v>
      </c>
      <c r="NN58" s="16">
        <f t="shared" si="435"/>
        <v>7.1365313653136531E-2</v>
      </c>
      <c r="NO58" s="16">
        <f t="shared" si="435"/>
        <v>6.8368532841742477E-2</v>
      </c>
      <c r="NP58" s="16">
        <f t="shared" si="435"/>
        <v>6.598227206946454E-2</v>
      </c>
      <c r="NQ58" s="16">
        <f t="shared" si="435"/>
        <v>6.6361556064073221E-2</v>
      </c>
      <c r="NR58" s="16">
        <f t="shared" si="435"/>
        <v>7.1351480992924807E-2</v>
      </c>
      <c r="NS58" s="16">
        <f t="shared" si="435"/>
        <v>7.3214021594438697E-2</v>
      </c>
      <c r="NT58" s="16">
        <f t="shared" si="435"/>
        <v>7.4080701440458085E-2</v>
      </c>
      <c r="NU58" s="16">
        <f t="shared" si="435"/>
        <v>8.1331276173683048E-2</v>
      </c>
      <c r="NV58" s="16">
        <f t="shared" si="435"/>
        <v>8.2063469872780653E-2</v>
      </c>
      <c r="NW58" s="16">
        <f t="shared" si="435"/>
        <v>8.5084395452979675E-2</v>
      </c>
      <c r="NX58" s="16">
        <f t="shared" si="435"/>
        <v>9.5726122982991713E-2</v>
      </c>
      <c r="NY58" s="16">
        <f t="shared" si="435"/>
        <v>9.9324704558244228E-2</v>
      </c>
      <c r="NZ58" s="16">
        <f t="shared" si="435"/>
        <v>8.3640383198231388E-2</v>
      </c>
      <c r="OA58" s="16">
        <f t="shared" si="435"/>
        <v>0.10189739985945186</v>
      </c>
      <c r="OB58" s="16"/>
      <c r="OC58" s="16">
        <f t="shared" ref="OC58:OG58" si="436">(OC53+OC50)/OC48</f>
        <v>0.13168724279835392</v>
      </c>
      <c r="OD58" s="16">
        <f t="shared" si="436"/>
        <v>8.5610200364298727E-2</v>
      </c>
      <c r="OE58" s="16">
        <f t="shared" si="436"/>
        <v>9.2342342342342343E-2</v>
      </c>
      <c r="OF58" s="16">
        <f t="shared" si="436"/>
        <v>8.533333333333333E-2</v>
      </c>
      <c r="OG58" s="16">
        <f t="shared" si="436"/>
        <v>6.6666666666666666E-2</v>
      </c>
    </row>
    <row r="59" spans="1:397">
      <c r="A59" s="13" t="s">
        <v>59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6">
        <f t="shared" ref="IE59" si="437">(IE52+IE53+IE50)/IE48</f>
        <v>6.622147207749321E-2</v>
      </c>
      <c r="IF59" s="16">
        <f t="shared" ref="IF59:IG59" si="438">(IF52+IF53+IF50)/IF48</f>
        <v>6.622147207749321E-2</v>
      </c>
      <c r="IG59" s="16">
        <f t="shared" si="438"/>
        <v>6.622147207749321E-2</v>
      </c>
      <c r="IH59" s="16">
        <f t="shared" ref="IH59" si="439">(IH52+IH53+IH50)/IH48</f>
        <v>6.622147207749321E-2</v>
      </c>
      <c r="II59" s="16">
        <f t="shared" ref="II59" si="440">(II52+II53+II50)/II48</f>
        <v>6.622147207749321E-2</v>
      </c>
      <c r="IJ59" s="16">
        <f t="shared" ref="IJ59:IK59" si="441">(IJ52+IJ53+IJ50)/IJ48</f>
        <v>6.622147207749321E-2</v>
      </c>
      <c r="IK59" s="16">
        <f t="shared" si="441"/>
        <v>6.622147207749321E-2</v>
      </c>
      <c r="IL59" s="16">
        <f t="shared" ref="IL59" si="442">(IL52+IL53+IL50)/IL48</f>
        <v>6.622147207749321E-2</v>
      </c>
      <c r="IM59" s="16">
        <f t="shared" ref="IM59:IN59" si="443">(IM52+IM53+IM50)/IM48</f>
        <v>6.622147207749321E-2</v>
      </c>
      <c r="IN59" s="16">
        <f t="shared" si="443"/>
        <v>6.622147207749321E-2</v>
      </c>
      <c r="IO59" s="16">
        <f t="shared" ref="IO59:IP59" si="444">(IO52+IO53+IO50)/IO48</f>
        <v>6.622147207749321E-2</v>
      </c>
      <c r="IP59" s="16">
        <f t="shared" si="444"/>
        <v>6.622147207749321E-2</v>
      </c>
      <c r="IQ59" s="16">
        <f t="shared" ref="IQ59:IR59" si="445">(IQ52+IQ53+IQ50)/IQ48</f>
        <v>6.622147207749321E-2</v>
      </c>
      <c r="IR59" s="16">
        <f t="shared" si="445"/>
        <v>6.622147207749321E-2</v>
      </c>
      <c r="IS59" s="16">
        <f t="shared" ref="IS59:IT59" si="446">(IS52+IS53+IS50)/IS48</f>
        <v>6.622147207749321E-2</v>
      </c>
      <c r="IT59" s="16">
        <f t="shared" si="446"/>
        <v>6.622147207749321E-2</v>
      </c>
      <c r="IU59" s="16">
        <f t="shared" ref="IU59:IV59" si="447">(IU52+IU53+IU50)/IU48</f>
        <v>6.622147207749321E-2</v>
      </c>
      <c r="IV59" s="16">
        <f t="shared" si="447"/>
        <v>6.622147207749321E-2</v>
      </c>
      <c r="IW59" s="16">
        <f t="shared" ref="IW59" si="448">(IW52+IW53+IW50)/IW48</f>
        <v>6.622147207749321E-2</v>
      </c>
      <c r="IX59" s="16">
        <f t="shared" ref="IX59" si="449">(IX52+IX53+IX50)/IX48</f>
        <v>6.622147207749321E-2</v>
      </c>
      <c r="IY59" s="16">
        <f t="shared" ref="IY59:JD59" si="450">(IY52+IY53+IY50)/IY48</f>
        <v>6.622147207749321E-2</v>
      </c>
      <c r="IZ59" s="16">
        <f t="shared" si="450"/>
        <v>6.622147207749321E-2</v>
      </c>
      <c r="JA59" s="16">
        <f t="shared" si="450"/>
        <v>6.622147207749321E-2</v>
      </c>
      <c r="JB59" s="16">
        <f t="shared" si="450"/>
        <v>6.623614882219124E-2</v>
      </c>
      <c r="JC59" s="16">
        <f t="shared" si="450"/>
        <v>6.623614882219124E-2</v>
      </c>
      <c r="JD59" s="16">
        <f t="shared" si="450"/>
        <v>6.623614882219124E-2</v>
      </c>
      <c r="JE59" s="16">
        <f t="shared" ref="JE59" si="451">(JE52+JE53+JE50)/JE48</f>
        <v>6.623614882219124E-2</v>
      </c>
      <c r="JF59" s="16">
        <f t="shared" ref="JF59" si="452">(JF52+JF53+JF50)/JF48</f>
        <v>6.623614882219124E-2</v>
      </c>
      <c r="JG59" s="16">
        <f t="shared" ref="JG59" si="453">(JG52+JG53+JG50)/JG48</f>
        <v>6.623614882219124E-2</v>
      </c>
      <c r="JH59" s="16">
        <f t="shared" ref="JH59:JI59" si="454">(JH52+JH53+JH50)/JH48</f>
        <v>6.6250825566889257E-2</v>
      </c>
      <c r="JI59" s="16">
        <f t="shared" si="454"/>
        <v>6.6250825566889257E-2</v>
      </c>
      <c r="JJ59" s="16">
        <f t="shared" ref="JJ59:JK59" si="455">(JJ52+JJ53+JJ50)/JJ48</f>
        <v>6.6250825566889257E-2</v>
      </c>
      <c r="JK59" s="16">
        <f t="shared" si="455"/>
        <v>6.6250825566889257E-2</v>
      </c>
      <c r="JL59" s="16">
        <f t="shared" ref="JL59:JM59" si="456">(JL52+JL53+JL50)/JL48</f>
        <v>6.6250825566889257E-2</v>
      </c>
      <c r="JM59" s="16">
        <f t="shared" si="456"/>
        <v>6.6250825566889257E-2</v>
      </c>
      <c r="JN59" s="16">
        <f t="shared" ref="JN59:JO59" si="457">(JN52+JN53+JN50)/JN48</f>
        <v>6.6250825566889257E-2</v>
      </c>
      <c r="JO59" s="16">
        <f t="shared" si="457"/>
        <v>6.6250825566889257E-2</v>
      </c>
      <c r="JP59" s="16">
        <f t="shared" ref="JP59:JQ59" si="458">(JP52+JP53+JP50)/JP48</f>
        <v>6.6250825566889257E-2</v>
      </c>
      <c r="JQ59" s="16">
        <f t="shared" si="458"/>
        <v>6.6250825566889257E-2</v>
      </c>
      <c r="JR59" s="16">
        <f t="shared" ref="JR59:JS59" si="459">(JR52+JR53+JR50)/JR48</f>
        <v>6.6250825566889257E-2</v>
      </c>
      <c r="JS59" s="16">
        <f t="shared" si="459"/>
        <v>6.6251797927613237E-2</v>
      </c>
      <c r="JT59" s="16">
        <f t="shared" ref="JT59" si="460">(JT52+JT53+JT50)/JT48</f>
        <v>6.6251797927613237E-2</v>
      </c>
      <c r="JU59" s="16">
        <f t="shared" ref="JU59:JV59" si="461">(JU52+JU53+JU50)/JU48</f>
        <v>6.6251797927613237E-2</v>
      </c>
      <c r="JV59" s="16">
        <f t="shared" si="461"/>
        <v>6.6251797927613237E-2</v>
      </c>
      <c r="JW59" s="16">
        <f t="shared" ref="JW59:JX59" si="462">(JW52+JW53+JW50)/JW48</f>
        <v>6.6251797927613237E-2</v>
      </c>
      <c r="JX59" s="16">
        <f t="shared" si="462"/>
        <v>6.6251797927613237E-2</v>
      </c>
      <c r="JY59" s="16">
        <f t="shared" ref="JY59:JZ59" si="463">(JY52+JY53+JY50)/JY48</f>
        <v>6.6251797927613237E-2</v>
      </c>
      <c r="JZ59" s="16">
        <f t="shared" si="463"/>
        <v>6.6237120967505211E-2</v>
      </c>
      <c r="KA59" s="16">
        <f t="shared" ref="KA59:KB59" si="464">(KA52+KA53+KA50)/KA48</f>
        <v>6.622730408489777E-2</v>
      </c>
      <c r="KB59" s="16">
        <f t="shared" si="464"/>
        <v>6.6228276186002813E-2</v>
      </c>
      <c r="KC59" s="16">
        <f t="shared" ref="KC59:KD59" si="465">(KC52+KC53+KC50)/KC48</f>
        <v>6.6228276186002813E-2</v>
      </c>
      <c r="KD59" s="16">
        <f t="shared" si="465"/>
        <v>6.6228276186002813E-2</v>
      </c>
      <c r="KE59" s="16">
        <f t="shared" ref="KE59:KF59" si="466">(KE52+KE53+KE50)/KE48</f>
        <v>6.6228276186002813E-2</v>
      </c>
      <c r="KF59" s="16">
        <f t="shared" si="466"/>
        <v>6.6228276186002813E-2</v>
      </c>
      <c r="KG59" s="16">
        <f t="shared" ref="KG59:KH59" si="467">(KG52+KG53+KG50)/KG48</f>
        <v>6.6228276186002813E-2</v>
      </c>
      <c r="KH59" s="16">
        <f t="shared" si="467"/>
        <v>6.6228276186002813E-2</v>
      </c>
      <c r="KI59" s="16">
        <f t="shared" ref="KI59:KJ59" si="468">(KI52+KI53+KI50)/KI48</f>
        <v>6.6228276186002813E-2</v>
      </c>
      <c r="KJ59" s="16">
        <f t="shared" si="468"/>
        <v>6.6228276186002813E-2</v>
      </c>
      <c r="KK59" s="16">
        <f t="shared" ref="KK59:KL59" si="469">(KK52+KK53+KK50)/KK48</f>
        <v>6.6228276186002813E-2</v>
      </c>
      <c r="KL59" s="16">
        <f t="shared" si="469"/>
        <v>6.6228276186002813E-2</v>
      </c>
      <c r="KM59" s="16">
        <f t="shared" ref="KM59:ND59" si="470">(KM52+KM53+KM50)/KM48</f>
        <v>6.6228276186002813E-2</v>
      </c>
      <c r="KN59" s="16">
        <f t="shared" si="470"/>
        <v>6.6228276186002813E-2</v>
      </c>
      <c r="KO59" s="16">
        <f t="shared" si="470"/>
        <v>6.6228276186002813E-2</v>
      </c>
      <c r="KP59" s="16">
        <f t="shared" si="470"/>
        <v>6.6228276186002813E-2</v>
      </c>
      <c r="KQ59" s="16">
        <f t="shared" si="470"/>
        <v>6.6242954438703622E-2</v>
      </c>
      <c r="KR59" s="16">
        <f t="shared" si="470"/>
        <v>6.6257632691404417E-2</v>
      </c>
      <c r="KS59" s="16">
        <f t="shared" si="470"/>
        <v>6.6448449976514792E-2</v>
      </c>
      <c r="KT59" s="16">
        <f t="shared" si="470"/>
        <v>6.6507162987317986E-2</v>
      </c>
      <c r="KU59" s="16">
        <f t="shared" si="470"/>
        <v>6.6521841240018795E-2</v>
      </c>
      <c r="KV59" s="16">
        <f t="shared" si="470"/>
        <v>6.6551197745420385E-2</v>
      </c>
      <c r="KW59" s="16">
        <f t="shared" si="470"/>
        <v>6.6624589008924373E-2</v>
      </c>
      <c r="KX59" s="16">
        <f t="shared" si="470"/>
        <v>6.6697980272428375E-2</v>
      </c>
      <c r="KY59" s="16">
        <f t="shared" si="470"/>
        <v>4.8080468415851806E-2</v>
      </c>
      <c r="KZ59" s="16">
        <f t="shared" si="470"/>
        <v>4.8360692004778549E-2</v>
      </c>
      <c r="LA59" s="16">
        <f t="shared" si="470"/>
        <v>4.8522926714157193E-2</v>
      </c>
      <c r="LB59" s="16">
        <f t="shared" si="470"/>
        <v>4.8611418373818265E-2</v>
      </c>
      <c r="LC59" s="16">
        <f t="shared" si="470"/>
        <v>4.8847396132914472E-2</v>
      </c>
      <c r="LD59" s="16">
        <f t="shared" si="470"/>
        <v>4.8876893352801501E-2</v>
      </c>
      <c r="LE59" s="16">
        <f t="shared" si="470"/>
        <v>4.8950636402519065E-2</v>
      </c>
      <c r="LF59" s="16">
        <f t="shared" si="470"/>
        <v>4.9437340530654988E-2</v>
      </c>
      <c r="LG59" s="16">
        <f t="shared" si="470"/>
        <v>4.9717564119581732E-2</v>
      </c>
      <c r="LH59" s="16">
        <f t="shared" si="470"/>
        <v>5.0086279368169548E-2</v>
      </c>
      <c r="LI59" s="16">
        <f t="shared" si="470"/>
        <v>5.0823709865345193E-2</v>
      </c>
      <c r="LJ59" s="16">
        <f t="shared" si="470"/>
        <v>5.1280916773594087E-2</v>
      </c>
      <c r="LK59" s="16">
        <f t="shared" si="470"/>
        <v>5.176762090173001E-2</v>
      </c>
      <c r="LL59" s="16">
        <f t="shared" si="470"/>
        <v>5.2387835167104213E-2</v>
      </c>
      <c r="LM59" s="16">
        <f t="shared" si="470"/>
        <v>5.3081030058110379E-2</v>
      </c>
      <c r="LN59" s="16">
        <f t="shared" si="470"/>
        <v>5.3508746054688652E-2</v>
      </c>
      <c r="LO59" s="16">
        <f t="shared" si="470"/>
        <v>5.43354817775549E-2</v>
      </c>
      <c r="LP59" s="16">
        <f t="shared" si="470"/>
        <v>5.5854633412486539E-2</v>
      </c>
      <c r="LQ59" s="16">
        <f t="shared" si="470"/>
        <v>5.7403283137416855E-2</v>
      </c>
      <c r="LR59" s="16">
        <f t="shared" si="470"/>
        <v>5.9925369832303357E-2</v>
      </c>
      <c r="LS59" s="16">
        <f t="shared" si="470"/>
        <v>6.1547764782230348E-2</v>
      </c>
      <c r="LT59" s="16">
        <f t="shared" si="470"/>
        <v>6.4453326647099601E-2</v>
      </c>
      <c r="LU59" s="16">
        <f t="shared" si="470"/>
        <v>6.6827922891992741E-2</v>
      </c>
      <c r="LV59" s="16">
        <f t="shared" si="470"/>
        <v>6.9305762451881248E-2</v>
      </c>
      <c r="LW59" s="16">
        <f t="shared" si="470"/>
        <v>7.1784660766961647E-2</v>
      </c>
      <c r="LX59" s="16">
        <f t="shared" si="470"/>
        <v>7.3097345132743366E-2</v>
      </c>
      <c r="LY59" s="16">
        <f t="shared" si="470"/>
        <v>7.4719764011799417E-2</v>
      </c>
      <c r="LZ59" s="16">
        <f t="shared" si="470"/>
        <v>7.713864306784661E-2</v>
      </c>
      <c r="MA59" s="16">
        <f t="shared" si="470"/>
        <v>7.9705014749262532E-2</v>
      </c>
      <c r="MB59" s="16">
        <f t="shared" si="470"/>
        <v>8.4100294985250734E-2</v>
      </c>
      <c r="MC59" s="16">
        <f t="shared" si="470"/>
        <v>8.6918686116314398E-2</v>
      </c>
      <c r="MD59" s="16">
        <f t="shared" si="470"/>
        <v>8.9589663411900056E-2</v>
      </c>
      <c r="ME59" s="16">
        <f t="shared" si="470"/>
        <v>9.2161548219606454E-2</v>
      </c>
      <c r="MF59" s="16">
        <f t="shared" si="470"/>
        <v>9.7625018439297828E-2</v>
      </c>
      <c r="MG59" s="16">
        <f t="shared" si="470"/>
        <v>0.10341368424158381</v>
      </c>
      <c r="MH59" s="16">
        <f t="shared" si="470"/>
        <v>0.10675558047240377</v>
      </c>
      <c r="MI59" s="16">
        <f t="shared" si="470"/>
        <v>0.11004382276127661</v>
      </c>
      <c r="MJ59" s="16">
        <f t="shared" si="470"/>
        <v>0.11400531286894923</v>
      </c>
      <c r="MK59" s="16">
        <f t="shared" si="470"/>
        <v>0.11806385899650149</v>
      </c>
      <c r="ML59" s="16">
        <f t="shared" si="470"/>
        <v>0.12001713264507363</v>
      </c>
      <c r="MM59" s="16">
        <f t="shared" si="470"/>
        <v>0.12292731948098011</v>
      </c>
      <c r="MN59" s="16">
        <f t="shared" si="470"/>
        <v>0.12603562551781275</v>
      </c>
      <c r="MO59" s="16">
        <f t="shared" si="470"/>
        <v>0.1288056206088993</v>
      </c>
      <c r="MP59" s="16">
        <f t="shared" si="470"/>
        <v>0.13519574645042476</v>
      </c>
      <c r="MQ59" s="16">
        <f t="shared" si="470"/>
        <v>0.14024725887796241</v>
      </c>
      <c r="MR59" s="16">
        <f t="shared" si="470"/>
        <v>0.14418133317437373</v>
      </c>
      <c r="MS59" s="16">
        <f t="shared" si="470"/>
        <v>0.1474883046616946</v>
      </c>
      <c r="MT59" s="16">
        <f t="shared" si="470"/>
        <v>0.1522076669128842</v>
      </c>
      <c r="MU59" s="16">
        <f t="shared" si="470"/>
        <v>0.15649179233546742</v>
      </c>
      <c r="MV59" s="16">
        <f t="shared" si="470"/>
        <v>0.16197634002073297</v>
      </c>
      <c r="MW59" s="16">
        <f t="shared" si="470"/>
        <v>0.16784021353950943</v>
      </c>
      <c r="MX59" s="16">
        <f t="shared" si="470"/>
        <v>0.17346340258697868</v>
      </c>
      <c r="MY59" s="16">
        <f t="shared" si="470"/>
        <v>0.18549629007419852</v>
      </c>
      <c r="MZ59" s="16">
        <f t="shared" si="470"/>
        <v>0.19933212658385868</v>
      </c>
      <c r="NA59" s="16">
        <f t="shared" si="470"/>
        <v>0.207110662842374</v>
      </c>
      <c r="NB59" s="16">
        <f t="shared" si="470"/>
        <v>0.20829634795840729</v>
      </c>
      <c r="NC59" s="16">
        <f t="shared" si="470"/>
        <v>0.21145748274813073</v>
      </c>
      <c r="ND59" s="16">
        <f t="shared" si="470"/>
        <v>0.21346584092604001</v>
      </c>
      <c r="NE59" s="16">
        <f t="shared" ref="NE59:OG59" si="471">(NE52+NE53+NE50)/NE48</f>
        <v>0.21268899298204672</v>
      </c>
      <c r="NF59" s="16">
        <f t="shared" si="471"/>
        <v>0.19753532020212436</v>
      </c>
      <c r="NG59" s="16">
        <f t="shared" si="471"/>
        <v>0.21319490124268875</v>
      </c>
      <c r="NH59" s="16">
        <f t="shared" si="471"/>
        <v>0.21337720104400251</v>
      </c>
      <c r="NI59" s="16">
        <f t="shared" si="471"/>
        <v>0.20382410649020891</v>
      </c>
      <c r="NJ59" s="16">
        <f t="shared" si="471"/>
        <v>0.17412770194581587</v>
      </c>
      <c r="NK59" s="16">
        <f t="shared" si="471"/>
        <v>0.24902595456452675</v>
      </c>
      <c r="NL59" s="16">
        <f t="shared" si="471"/>
        <v>0.23064800806858296</v>
      </c>
      <c r="NM59" s="16">
        <f t="shared" si="471"/>
        <v>0.21518004792278358</v>
      </c>
      <c r="NN59" s="16">
        <f t="shared" si="471"/>
        <v>0.22239852398523985</v>
      </c>
      <c r="NO59" s="16">
        <f t="shared" si="471"/>
        <v>0.23620406363964253</v>
      </c>
      <c r="NP59" s="16">
        <f t="shared" si="471"/>
        <v>0.20893632416787264</v>
      </c>
      <c r="NQ59" s="16">
        <f t="shared" si="471"/>
        <v>0.184744469870328</v>
      </c>
      <c r="NR59" s="16">
        <f t="shared" si="471"/>
        <v>0.17981772394771556</v>
      </c>
      <c r="NS59" s="16">
        <f t="shared" si="471"/>
        <v>0.18909924567371691</v>
      </c>
      <c r="NT59" s="16">
        <f t="shared" si="471"/>
        <v>0.18350183412364676</v>
      </c>
      <c r="NU59" s="16">
        <f t="shared" si="471"/>
        <v>0.20454044522812431</v>
      </c>
      <c r="NV59" s="16">
        <f t="shared" si="471"/>
        <v>0.21571368656507758</v>
      </c>
      <c r="NW59" s="16">
        <f t="shared" si="471"/>
        <v>0.22356183258697898</v>
      </c>
      <c r="NX59" s="16">
        <f t="shared" si="471"/>
        <v>0.25076319232446576</v>
      </c>
      <c r="NY59" s="16">
        <f t="shared" si="471"/>
        <v>0.28812605514912776</v>
      </c>
      <c r="NZ59" s="16">
        <f t="shared" si="471"/>
        <v>0.29108327192336036</v>
      </c>
      <c r="OA59" s="16">
        <f t="shared" si="471"/>
        <v>0.25720309205903019</v>
      </c>
      <c r="OB59" s="16">
        <f t="shared" si="471"/>
        <v>0.1720532319391635</v>
      </c>
      <c r="OC59" s="16">
        <f t="shared" si="471"/>
        <v>0.26886145404663925</v>
      </c>
      <c r="OD59" s="16">
        <f t="shared" si="471"/>
        <v>0.27868852459016391</v>
      </c>
      <c r="OE59" s="16">
        <f t="shared" si="471"/>
        <v>0.25225225225225223</v>
      </c>
      <c r="OF59" s="16">
        <f t="shared" si="471"/>
        <v>0.25866666666666666</v>
      </c>
      <c r="OG59" s="16">
        <f t="shared" si="471"/>
        <v>0.25555555555555554</v>
      </c>
    </row>
    <row r="60" spans="1:397">
      <c r="A60" s="13" t="s">
        <v>60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6">
        <f t="shared" ref="IE60" si="472">IE50/IE48</f>
        <v>6.622147207749321E-2</v>
      </c>
      <c r="IF60" s="16">
        <f t="shared" ref="IF60:IG60" si="473">IF50/IF48</f>
        <v>6.622147207749321E-2</v>
      </c>
      <c r="IG60" s="16">
        <f t="shared" si="473"/>
        <v>6.622147207749321E-2</v>
      </c>
      <c r="IH60" s="16">
        <f t="shared" ref="IH60" si="474">IH50/IH48</f>
        <v>6.622147207749321E-2</v>
      </c>
      <c r="II60" s="16">
        <f t="shared" ref="II60" si="475">II50/II48</f>
        <v>6.622147207749321E-2</v>
      </c>
      <c r="IJ60" s="16">
        <f t="shared" ref="IJ60:IK60" si="476">IJ50/IJ48</f>
        <v>6.622147207749321E-2</v>
      </c>
      <c r="IK60" s="16">
        <f t="shared" si="476"/>
        <v>6.622147207749321E-2</v>
      </c>
      <c r="IL60" s="16">
        <f t="shared" ref="IL60" si="477">IL50/IL48</f>
        <v>6.622147207749321E-2</v>
      </c>
      <c r="IM60" s="16">
        <f t="shared" ref="IM60:IN60" si="478">IM50/IM48</f>
        <v>6.622147207749321E-2</v>
      </c>
      <c r="IN60" s="16">
        <f t="shared" si="478"/>
        <v>6.622147207749321E-2</v>
      </c>
      <c r="IO60" s="16">
        <f t="shared" ref="IO60:IP60" si="479">IO50/IO48</f>
        <v>6.622147207749321E-2</v>
      </c>
      <c r="IP60" s="16">
        <f t="shared" si="479"/>
        <v>6.622147207749321E-2</v>
      </c>
      <c r="IQ60" s="16">
        <f t="shared" ref="IQ60:IR60" si="480">IQ50/IQ48</f>
        <v>6.622147207749321E-2</v>
      </c>
      <c r="IR60" s="16">
        <f t="shared" si="480"/>
        <v>6.622147207749321E-2</v>
      </c>
      <c r="IS60" s="16">
        <f t="shared" ref="IS60:IT60" si="481">IS50/IS48</f>
        <v>6.622147207749321E-2</v>
      </c>
      <c r="IT60" s="16">
        <f t="shared" si="481"/>
        <v>6.622147207749321E-2</v>
      </c>
      <c r="IU60" s="16">
        <f t="shared" ref="IU60:IV60" si="482">IU50/IU48</f>
        <v>6.622147207749321E-2</v>
      </c>
      <c r="IV60" s="16">
        <f t="shared" si="482"/>
        <v>6.622147207749321E-2</v>
      </c>
      <c r="IW60" s="16">
        <f t="shared" ref="IW60" si="483">IW50/IW48</f>
        <v>6.622147207749321E-2</v>
      </c>
      <c r="IX60" s="16">
        <f t="shared" ref="IX60" si="484">IX50/IX48</f>
        <v>6.622147207749321E-2</v>
      </c>
      <c r="IY60" s="16">
        <f t="shared" ref="IY60:JD60" si="485">IY50/IY48</f>
        <v>6.622147207749321E-2</v>
      </c>
      <c r="IZ60" s="16">
        <f t="shared" si="485"/>
        <v>6.622147207749321E-2</v>
      </c>
      <c r="JA60" s="16">
        <f t="shared" si="485"/>
        <v>6.622147207749321E-2</v>
      </c>
      <c r="JB60" s="16">
        <f t="shared" si="485"/>
        <v>6.622147207749321E-2</v>
      </c>
      <c r="JC60" s="16">
        <f t="shared" si="485"/>
        <v>6.622147207749321E-2</v>
      </c>
      <c r="JD60" s="16">
        <f t="shared" si="485"/>
        <v>6.622147207749321E-2</v>
      </c>
      <c r="JE60" s="16">
        <f t="shared" ref="JE60" si="486">JE50/JE48</f>
        <v>6.622147207749321E-2</v>
      </c>
      <c r="JF60" s="16">
        <f t="shared" ref="JF60" si="487">JF50/JF48</f>
        <v>6.622147207749321E-2</v>
      </c>
      <c r="JG60" s="16">
        <f t="shared" ref="JG60" si="488">JG50/JG48</f>
        <v>6.622147207749321E-2</v>
      </c>
      <c r="JH60" s="16">
        <f t="shared" ref="JH60:JI60" si="489">JH50/JH48</f>
        <v>6.622147207749321E-2</v>
      </c>
      <c r="JI60" s="16">
        <f t="shared" si="489"/>
        <v>6.622147207749321E-2</v>
      </c>
      <c r="JJ60" s="16">
        <f t="shared" ref="JJ60:JK60" si="490">JJ50/JJ48</f>
        <v>6.622147207749321E-2</v>
      </c>
      <c r="JK60" s="16">
        <f t="shared" si="490"/>
        <v>6.622147207749321E-2</v>
      </c>
      <c r="JL60" s="16">
        <f t="shared" ref="JL60:JM60" si="491">JL50/JL48</f>
        <v>6.622147207749321E-2</v>
      </c>
      <c r="JM60" s="16">
        <f t="shared" si="491"/>
        <v>6.622147207749321E-2</v>
      </c>
      <c r="JN60" s="16">
        <f t="shared" ref="JN60:JO60" si="492">JN50/JN48</f>
        <v>6.622147207749321E-2</v>
      </c>
      <c r="JO60" s="16">
        <f t="shared" si="492"/>
        <v>6.622147207749321E-2</v>
      </c>
      <c r="JP60" s="16">
        <f t="shared" ref="JP60:JQ60" si="493">JP50/JP48</f>
        <v>6.622147207749321E-2</v>
      </c>
      <c r="JQ60" s="16">
        <f t="shared" si="493"/>
        <v>6.622147207749321E-2</v>
      </c>
      <c r="JR60" s="16">
        <f t="shared" ref="JR60:JS60" si="494">JR50/JR48</f>
        <v>6.622147207749321E-2</v>
      </c>
      <c r="JS60" s="16">
        <f t="shared" si="494"/>
        <v>6.6222444007397185E-2</v>
      </c>
      <c r="JT60" s="16">
        <f t="shared" ref="JT60" si="495">JT50/JT48</f>
        <v>6.6222444007397185E-2</v>
      </c>
      <c r="JU60" s="16">
        <f t="shared" ref="JU60:JV60" si="496">JU50/JU48</f>
        <v>6.6222444007397185E-2</v>
      </c>
      <c r="JV60" s="16">
        <f t="shared" si="496"/>
        <v>6.6222444007397185E-2</v>
      </c>
      <c r="JW60" s="16">
        <f t="shared" ref="JW60:JX60" si="497">JW50/JW48</f>
        <v>6.6222444007397185E-2</v>
      </c>
      <c r="JX60" s="16">
        <f t="shared" si="497"/>
        <v>6.6222444007397185E-2</v>
      </c>
      <c r="JY60" s="16">
        <f t="shared" ref="JY60:JZ60" si="498">JY50/JY48</f>
        <v>6.6222444007397185E-2</v>
      </c>
      <c r="JZ60" s="16">
        <f t="shared" si="498"/>
        <v>6.6222444007397185E-2</v>
      </c>
      <c r="KA60" s="16">
        <f t="shared" ref="KA60:KB60" si="499">KA50/KA48</f>
        <v>6.622730408489777E-2</v>
      </c>
      <c r="KB60" s="16">
        <f t="shared" si="499"/>
        <v>6.6228276186002813E-2</v>
      </c>
      <c r="KC60" s="16">
        <f t="shared" ref="KC60:KD60" si="500">KC50/KC48</f>
        <v>6.6228276186002813E-2</v>
      </c>
      <c r="KD60" s="16">
        <f t="shared" si="500"/>
        <v>6.6228276186002813E-2</v>
      </c>
      <c r="KE60" s="16">
        <f t="shared" ref="KE60:KF60" si="501">KE50/KE48</f>
        <v>6.6228276186002813E-2</v>
      </c>
      <c r="KF60" s="16">
        <f t="shared" si="501"/>
        <v>6.6228276186002813E-2</v>
      </c>
      <c r="KG60" s="16">
        <f t="shared" ref="KG60:KH60" si="502">KG50/KG48</f>
        <v>6.6228276186002813E-2</v>
      </c>
      <c r="KH60" s="16">
        <f t="shared" si="502"/>
        <v>6.6228276186002813E-2</v>
      </c>
      <c r="KI60" s="16">
        <f t="shared" ref="KI60:KJ60" si="503">KI50/KI48</f>
        <v>6.6228276186002813E-2</v>
      </c>
      <c r="KJ60" s="16">
        <f t="shared" si="503"/>
        <v>6.6228276186002813E-2</v>
      </c>
      <c r="KK60" s="16">
        <f t="shared" ref="KK60:KL60" si="504">KK50/KK48</f>
        <v>6.6228276186002813E-2</v>
      </c>
      <c r="KL60" s="16">
        <f t="shared" si="504"/>
        <v>6.6228276186002813E-2</v>
      </c>
      <c r="KM60" s="16">
        <f t="shared" ref="KM60:ND60" si="505">KM50/KM48</f>
        <v>6.6228276186002813E-2</v>
      </c>
      <c r="KN60" s="16">
        <f t="shared" si="505"/>
        <v>6.6228276186002813E-2</v>
      </c>
      <c r="KO60" s="16">
        <f t="shared" si="505"/>
        <v>6.6228276186002813E-2</v>
      </c>
      <c r="KP60" s="16">
        <f t="shared" si="505"/>
        <v>6.6228276186002813E-2</v>
      </c>
      <c r="KQ60" s="16">
        <f t="shared" si="505"/>
        <v>6.6228276186002813E-2</v>
      </c>
      <c r="KR60" s="16">
        <f t="shared" si="505"/>
        <v>6.6228276186002813E-2</v>
      </c>
      <c r="KS60" s="16">
        <f t="shared" si="505"/>
        <v>6.6228276186002813E-2</v>
      </c>
      <c r="KT60" s="16">
        <f t="shared" si="505"/>
        <v>6.6228276186002813E-2</v>
      </c>
      <c r="KU60" s="16">
        <f t="shared" si="505"/>
        <v>6.6228276186002813E-2</v>
      </c>
      <c r="KV60" s="16">
        <f t="shared" si="505"/>
        <v>6.6228276186002813E-2</v>
      </c>
      <c r="KW60" s="16">
        <f t="shared" si="505"/>
        <v>6.6228276186002813E-2</v>
      </c>
      <c r="KX60" s="16">
        <f t="shared" si="505"/>
        <v>6.6228276186002813E-2</v>
      </c>
      <c r="KY60" s="16">
        <f t="shared" si="505"/>
        <v>4.7520021237998318E-2</v>
      </c>
      <c r="KZ60" s="16">
        <f t="shared" si="505"/>
        <v>4.7520021237998318E-2</v>
      </c>
      <c r="LA60" s="16">
        <f t="shared" si="505"/>
        <v>4.7505272628054804E-2</v>
      </c>
      <c r="LB60" s="16">
        <f t="shared" si="505"/>
        <v>4.7505272628054804E-2</v>
      </c>
      <c r="LC60" s="16">
        <f t="shared" si="505"/>
        <v>4.7475775408167782E-2</v>
      </c>
      <c r="LD60" s="16">
        <f t="shared" si="505"/>
        <v>4.7475775408167782E-2</v>
      </c>
      <c r="LE60" s="16">
        <f t="shared" si="505"/>
        <v>4.7431529578337239E-2</v>
      </c>
      <c r="LF60" s="16">
        <f t="shared" si="505"/>
        <v>4.7416780968393732E-2</v>
      </c>
      <c r="LG60" s="16">
        <f t="shared" si="505"/>
        <v>4.7387283748506703E-2</v>
      </c>
      <c r="LH60" s="16">
        <f t="shared" si="505"/>
        <v>4.7372535138563189E-2</v>
      </c>
      <c r="LI60" s="16">
        <f t="shared" si="505"/>
        <v>4.7372535138563189E-2</v>
      </c>
      <c r="LJ60" s="16">
        <f t="shared" si="505"/>
        <v>4.7343037918676167E-2</v>
      </c>
      <c r="LK60" s="16">
        <f t="shared" si="505"/>
        <v>4.7298792088845625E-2</v>
      </c>
      <c r="LL60" s="16">
        <f t="shared" si="505"/>
        <v>4.7240494380696732E-2</v>
      </c>
      <c r="LM60" s="16">
        <f t="shared" si="505"/>
        <v>4.7181499070823869E-2</v>
      </c>
      <c r="LN60" s="16">
        <f t="shared" si="505"/>
        <v>4.7093006106014572E-2</v>
      </c>
      <c r="LO60" s="16">
        <f t="shared" si="505"/>
        <v>4.7005206412884769E-2</v>
      </c>
      <c r="LP60" s="16">
        <f t="shared" si="505"/>
        <v>4.699045736788543E-2</v>
      </c>
      <c r="LQ60" s="16">
        <f t="shared" si="505"/>
        <v>4.6931461187888081E-2</v>
      </c>
      <c r="LR60" s="16">
        <f t="shared" si="505"/>
        <v>4.68577159628914E-2</v>
      </c>
      <c r="LS60" s="16">
        <f t="shared" si="505"/>
        <v>4.6813468827893397E-2</v>
      </c>
      <c r="LT60" s="16">
        <f t="shared" si="505"/>
        <v>4.6739723602896716E-2</v>
      </c>
      <c r="LU60" s="16">
        <f t="shared" si="505"/>
        <v>4.6651229332900696E-2</v>
      </c>
      <c r="LV60" s="16">
        <f t="shared" si="505"/>
        <v>4.6606982197902685E-2</v>
      </c>
      <c r="LW60" s="16">
        <f t="shared" si="505"/>
        <v>4.6504424778761065E-2</v>
      </c>
      <c r="LX60" s="16">
        <f t="shared" si="505"/>
        <v>4.6371681415929206E-2</v>
      </c>
      <c r="LY60" s="16">
        <f t="shared" si="505"/>
        <v>4.6297935103244835E-2</v>
      </c>
      <c r="LZ60" s="16">
        <f t="shared" si="505"/>
        <v>4.6194690265486726E-2</v>
      </c>
      <c r="MA60" s="16">
        <f t="shared" si="505"/>
        <v>4.6165191740412982E-2</v>
      </c>
      <c r="MB60" s="16">
        <f t="shared" si="505"/>
        <v>4.6047197640117991E-2</v>
      </c>
      <c r="MC60" s="16">
        <f t="shared" si="505"/>
        <v>4.5885632531453266E-2</v>
      </c>
      <c r="MD60" s="16">
        <f t="shared" si="505"/>
        <v>4.5709312959084342E-2</v>
      </c>
      <c r="ME60" s="16">
        <f t="shared" si="505"/>
        <v>4.5505501961825533E-2</v>
      </c>
      <c r="MF60" s="16">
        <f t="shared" si="505"/>
        <v>4.5360672665584897E-2</v>
      </c>
      <c r="MG60" s="16">
        <f t="shared" si="505"/>
        <v>4.5171569350603367E-2</v>
      </c>
      <c r="MH60" s="16">
        <f t="shared" si="505"/>
        <v>4.5086381139257316E-2</v>
      </c>
      <c r="MI60" s="16">
        <f t="shared" si="505"/>
        <v>4.4944151800864654E-2</v>
      </c>
      <c r="MJ60" s="16">
        <f t="shared" si="505"/>
        <v>4.4628099173553717E-2</v>
      </c>
      <c r="MK60" s="16">
        <f t="shared" si="505"/>
        <v>4.438835008783195E-2</v>
      </c>
      <c r="ML60" s="16">
        <f t="shared" si="505"/>
        <v>4.4101791542971926E-2</v>
      </c>
      <c r="MM60" s="16">
        <f t="shared" si="505"/>
        <v>4.372949487187066E-2</v>
      </c>
      <c r="MN60" s="16">
        <f t="shared" si="505"/>
        <v>4.336311989584566E-2</v>
      </c>
      <c r="MO60" s="16">
        <f t="shared" si="505"/>
        <v>4.3014259034180179E-2</v>
      </c>
      <c r="MP60" s="16">
        <f t="shared" si="505"/>
        <v>4.2639458207093209E-2</v>
      </c>
      <c r="MQ60" s="16">
        <f t="shared" si="505"/>
        <v>4.2161953077346506E-2</v>
      </c>
      <c r="MR60" s="16">
        <f t="shared" si="505"/>
        <v>4.1771604846281091E-2</v>
      </c>
      <c r="MS60" s="16">
        <f t="shared" si="505"/>
        <v>4.1266235222024598E-2</v>
      </c>
      <c r="MT60" s="16">
        <f t="shared" si="505"/>
        <v>4.1108280446809475E-2</v>
      </c>
      <c r="MU60" s="16">
        <f t="shared" si="505"/>
        <v>4.0689383135600936E-2</v>
      </c>
      <c r="MV60" s="16">
        <f t="shared" si="505"/>
        <v>4.0261601317153485E-2</v>
      </c>
      <c r="MW60" s="16">
        <f t="shared" si="505"/>
        <v>4.011536042462454E-2</v>
      </c>
      <c r="MX60" s="16">
        <f t="shared" si="505"/>
        <v>3.9561016268946994E-2</v>
      </c>
      <c r="MY60" s="16">
        <f t="shared" si="505"/>
        <v>3.8810334904413026E-2</v>
      </c>
      <c r="MZ60" s="16">
        <f t="shared" si="505"/>
        <v>3.6608201735222522E-2</v>
      </c>
      <c r="NA60" s="16">
        <f t="shared" si="505"/>
        <v>3.5458757525136317E-2</v>
      </c>
      <c r="NB60" s="16">
        <f t="shared" si="505"/>
        <v>3.3984275932031446E-2</v>
      </c>
      <c r="NC60" s="16">
        <f t="shared" si="505"/>
        <v>3.2486350609219145E-2</v>
      </c>
      <c r="ND60" s="16">
        <f t="shared" si="505"/>
        <v>3.1143607535423626E-2</v>
      </c>
      <c r="NE60" s="16">
        <f t="shared" ref="NE60:OG60" si="506">NE50/NE48</f>
        <v>2.9822134057910617E-2</v>
      </c>
      <c r="NF60" s="16">
        <f t="shared" si="506"/>
        <v>2.9149908906534665E-2</v>
      </c>
      <c r="NG60" s="16">
        <f t="shared" si="506"/>
        <v>2.8373837757115682E-2</v>
      </c>
      <c r="NH60" s="16">
        <f t="shared" si="506"/>
        <v>2.6780134543984119E-2</v>
      </c>
      <c r="NI60" s="16">
        <f t="shared" si="506"/>
        <v>2.5352979648366868E-2</v>
      </c>
      <c r="NJ60" s="16">
        <f t="shared" si="506"/>
        <v>2.7175040451396092E-2</v>
      </c>
      <c r="NK60" s="16">
        <f t="shared" si="506"/>
        <v>3.2008631541089731E-2</v>
      </c>
      <c r="NL60" s="16">
        <f t="shared" si="506"/>
        <v>3.0698436712052447E-2</v>
      </c>
      <c r="NM60" s="16">
        <f t="shared" si="506"/>
        <v>2.9394890486315009E-2</v>
      </c>
      <c r="NN60" s="16">
        <f t="shared" si="506"/>
        <v>2.8782287822878228E-2</v>
      </c>
      <c r="NO60" s="16">
        <f t="shared" si="506"/>
        <v>2.8012663807958964E-2</v>
      </c>
      <c r="NP60" s="16">
        <f t="shared" si="506"/>
        <v>2.794862518089725E-2</v>
      </c>
      <c r="NQ60" s="16">
        <f t="shared" si="506"/>
        <v>2.7917620137299773E-2</v>
      </c>
      <c r="NR60" s="16">
        <f t="shared" si="506"/>
        <v>2.8720470080345364E-2</v>
      </c>
      <c r="NS60" s="16">
        <f t="shared" si="506"/>
        <v>3.0616772666765272E-2</v>
      </c>
      <c r="NT60" s="16">
        <f t="shared" si="506"/>
        <v>3.131430616444484E-2</v>
      </c>
      <c r="NU60" s="16">
        <f t="shared" si="506"/>
        <v>3.2400264491955037E-2</v>
      </c>
      <c r="NV60" s="16">
        <f t="shared" si="506"/>
        <v>3.4810568992031318E-2</v>
      </c>
      <c r="NW60" s="16">
        <f t="shared" si="506"/>
        <v>3.5136066138477438E-2</v>
      </c>
      <c r="NX60" s="16">
        <f t="shared" si="506"/>
        <v>3.5324901875272569E-2</v>
      </c>
      <c r="NY60" s="16">
        <f t="shared" si="506"/>
        <v>3.5171637591446259E-2</v>
      </c>
      <c r="NZ60" s="16">
        <f t="shared" si="506"/>
        <v>3.6845983787767135E-2</v>
      </c>
      <c r="OA60" s="16">
        <f t="shared" si="506"/>
        <v>5.3408292340126493E-2</v>
      </c>
      <c r="OB60" s="16">
        <f t="shared" si="506"/>
        <v>4.9429657794676805E-2</v>
      </c>
      <c r="OC60" s="16">
        <f t="shared" si="506"/>
        <v>5.3497942386831275E-2</v>
      </c>
      <c r="OD60" s="16">
        <f t="shared" si="506"/>
        <v>4.3715846994535519E-2</v>
      </c>
      <c r="OE60" s="16">
        <f t="shared" si="506"/>
        <v>3.8288288288288286E-2</v>
      </c>
      <c r="OF60" s="16">
        <f t="shared" si="506"/>
        <v>2.4E-2</v>
      </c>
      <c r="OG60" s="16">
        <f t="shared" si="506"/>
        <v>2.2222222222222223E-2</v>
      </c>
    </row>
    <row r="61" spans="1:397">
      <c r="A61" s="13" t="s">
        <v>96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9">
        <f t="shared" ref="IE61:IV61" si="507">IE55-IF55</f>
        <v>1</v>
      </c>
      <c r="IF61" s="19">
        <f t="shared" si="507"/>
        <v>1</v>
      </c>
      <c r="IG61" s="19">
        <f t="shared" si="507"/>
        <v>6</v>
      </c>
      <c r="IH61" s="19">
        <f t="shared" si="507"/>
        <v>12</v>
      </c>
      <c r="II61" s="19">
        <f t="shared" si="507"/>
        <v>7</v>
      </c>
      <c r="IJ61" s="19">
        <f t="shared" si="507"/>
        <v>0</v>
      </c>
      <c r="IK61" s="19">
        <f t="shared" si="507"/>
        <v>11</v>
      </c>
      <c r="IL61" s="19">
        <f t="shared" si="507"/>
        <v>0</v>
      </c>
      <c r="IM61" s="19">
        <f t="shared" si="507"/>
        <v>6</v>
      </c>
      <c r="IN61" s="19">
        <f t="shared" si="507"/>
        <v>6</v>
      </c>
      <c r="IO61" s="19">
        <f t="shared" si="507"/>
        <v>1</v>
      </c>
      <c r="IP61" s="19">
        <f t="shared" si="507"/>
        <v>2</v>
      </c>
      <c r="IQ61" s="19">
        <f t="shared" si="507"/>
        <v>14</v>
      </c>
      <c r="IR61" s="19">
        <f t="shared" si="507"/>
        <v>0</v>
      </c>
      <c r="IS61" s="19">
        <f t="shared" si="507"/>
        <v>7</v>
      </c>
      <c r="IT61" s="19">
        <f t="shared" si="507"/>
        <v>5</v>
      </c>
      <c r="IU61" s="19">
        <f t="shared" si="507"/>
        <v>0</v>
      </c>
      <c r="IV61" s="19">
        <f t="shared" si="507"/>
        <v>7</v>
      </c>
      <c r="IW61" s="19">
        <f t="shared" ref="IW61" si="508">IW55-IX55</f>
        <v>27</v>
      </c>
      <c r="IX61" s="19">
        <f t="shared" ref="IX61" si="509">IX55-IY55</f>
        <v>4</v>
      </c>
      <c r="IY61" s="19">
        <f t="shared" ref="IY61:JD61" si="510">IY55-IZ55</f>
        <v>8</v>
      </c>
      <c r="IZ61" s="19">
        <f t="shared" si="510"/>
        <v>52</v>
      </c>
      <c r="JA61" s="19">
        <f t="shared" si="510"/>
        <v>36</v>
      </c>
      <c r="JB61" s="19">
        <f t="shared" si="510"/>
        <v>8</v>
      </c>
      <c r="JC61" s="19">
        <f t="shared" si="510"/>
        <v>5</v>
      </c>
      <c r="JD61" s="19">
        <f t="shared" si="510"/>
        <v>2</v>
      </c>
      <c r="JE61" s="19">
        <f t="shared" ref="JE61:KO61" si="511">JE55-JF55</f>
        <v>3</v>
      </c>
      <c r="JF61" s="19">
        <f t="shared" si="511"/>
        <v>32</v>
      </c>
      <c r="JG61" s="19">
        <f t="shared" si="511"/>
        <v>21</v>
      </c>
      <c r="JH61" s="19">
        <f t="shared" si="511"/>
        <v>71</v>
      </c>
      <c r="JI61" s="19">
        <f>JI55-JJ55</f>
        <v>63</v>
      </c>
      <c r="JJ61" s="19">
        <f t="shared" si="511"/>
        <v>123</v>
      </c>
      <c r="JK61" s="19">
        <f t="shared" si="511"/>
        <v>204</v>
      </c>
      <c r="JL61" s="19">
        <f t="shared" si="511"/>
        <v>113</v>
      </c>
      <c r="JM61" s="19">
        <f t="shared" si="511"/>
        <v>107</v>
      </c>
      <c r="JN61" s="19">
        <f t="shared" si="511"/>
        <v>145</v>
      </c>
      <c r="JO61" s="19">
        <f t="shared" si="511"/>
        <v>148</v>
      </c>
      <c r="JP61" s="19">
        <f t="shared" si="511"/>
        <v>90</v>
      </c>
      <c r="JQ61" s="19">
        <f t="shared" si="511"/>
        <v>62</v>
      </c>
      <c r="JR61" s="19">
        <f t="shared" si="511"/>
        <v>76</v>
      </c>
      <c r="JS61" s="19">
        <f t="shared" si="511"/>
        <v>84</v>
      </c>
      <c r="JT61" s="19">
        <f t="shared" si="511"/>
        <v>156</v>
      </c>
      <c r="JU61" s="19">
        <f t="shared" si="511"/>
        <v>0</v>
      </c>
      <c r="JV61" s="19">
        <f t="shared" si="511"/>
        <v>43</v>
      </c>
      <c r="JW61" s="19">
        <f t="shared" si="511"/>
        <v>46</v>
      </c>
      <c r="JX61" s="19">
        <f t="shared" si="511"/>
        <v>44</v>
      </c>
      <c r="JY61" s="19">
        <f t="shared" si="511"/>
        <v>98</v>
      </c>
      <c r="JZ61" s="19">
        <f t="shared" si="511"/>
        <v>44</v>
      </c>
      <c r="KA61" s="19">
        <f t="shared" si="511"/>
        <v>65</v>
      </c>
      <c r="KB61" s="19">
        <f t="shared" si="511"/>
        <v>83</v>
      </c>
      <c r="KC61" s="19">
        <f t="shared" si="511"/>
        <v>61</v>
      </c>
      <c r="KD61" s="19">
        <f t="shared" si="511"/>
        <v>53</v>
      </c>
      <c r="KE61" s="19">
        <f t="shared" si="511"/>
        <v>61</v>
      </c>
      <c r="KF61" s="19">
        <f t="shared" si="511"/>
        <v>50</v>
      </c>
      <c r="KG61" s="19">
        <f t="shared" si="511"/>
        <v>69</v>
      </c>
      <c r="KH61" s="19">
        <f t="shared" si="511"/>
        <v>86</v>
      </c>
      <c r="KI61" s="19">
        <f t="shared" si="511"/>
        <v>64</v>
      </c>
      <c r="KJ61" s="19">
        <f t="shared" si="511"/>
        <v>100</v>
      </c>
      <c r="KK61" s="19">
        <f t="shared" si="511"/>
        <v>58</v>
      </c>
      <c r="KL61" s="19">
        <f t="shared" si="511"/>
        <v>88</v>
      </c>
      <c r="KM61" s="19">
        <f t="shared" si="511"/>
        <v>129</v>
      </c>
      <c r="KN61" s="19">
        <f t="shared" si="511"/>
        <v>123</v>
      </c>
      <c r="KO61" s="19">
        <f t="shared" si="511"/>
        <v>110</v>
      </c>
      <c r="KP61" s="19">
        <f t="shared" ref="KP61" si="512">KP55-KQ55</f>
        <v>153</v>
      </c>
      <c r="KQ61" s="19">
        <f t="shared" ref="KQ61:LK62" si="513">KQ55-KR55</f>
        <v>101</v>
      </c>
      <c r="KR61" s="19">
        <f t="shared" si="513"/>
        <v>90</v>
      </c>
      <c r="KS61" s="19">
        <f t="shared" si="513"/>
        <v>92</v>
      </c>
      <c r="KT61" s="19">
        <f t="shared" si="513"/>
        <v>209</v>
      </c>
      <c r="KU61" s="19">
        <f t="shared" si="513"/>
        <v>88</v>
      </c>
      <c r="KV61" s="19">
        <f t="shared" si="513"/>
        <v>119</v>
      </c>
      <c r="KW61" s="19">
        <f t="shared" si="513"/>
        <v>175</v>
      </c>
      <c r="KX61" s="19">
        <f t="shared" si="513"/>
        <v>172</v>
      </c>
      <c r="KY61" s="19">
        <f t="shared" si="513"/>
        <v>217</v>
      </c>
      <c r="KZ61" s="19">
        <f t="shared" si="513"/>
        <v>151</v>
      </c>
      <c r="LA61" s="19">
        <f t="shared" si="513"/>
        <v>107</v>
      </c>
      <c r="LB61" s="19">
        <f t="shared" si="513"/>
        <v>171</v>
      </c>
      <c r="LC61" s="19">
        <f t="shared" si="513"/>
        <v>89</v>
      </c>
      <c r="LD61" s="19">
        <f t="shared" si="513"/>
        <v>173</v>
      </c>
      <c r="LE61" s="19">
        <f t="shared" si="513"/>
        <v>99</v>
      </c>
      <c r="LF61" s="19">
        <f t="shared" si="513"/>
        <v>115</v>
      </c>
      <c r="LG61" s="19">
        <f t="shared" si="513"/>
        <v>168</v>
      </c>
      <c r="LH61" s="19">
        <f t="shared" si="513"/>
        <v>149</v>
      </c>
      <c r="LI61" s="19">
        <f t="shared" si="513"/>
        <v>177</v>
      </c>
      <c r="LJ61" s="19">
        <f t="shared" si="513"/>
        <v>262</v>
      </c>
      <c r="LK61" s="19">
        <f t="shared" si="513"/>
        <v>201</v>
      </c>
      <c r="LL61" s="19">
        <f t="shared" ref="LL61:LQ61" si="514">LL55-LM55</f>
        <v>226</v>
      </c>
      <c r="LM61" s="19">
        <f t="shared" si="514"/>
        <v>191</v>
      </c>
      <c r="LN61" s="19">
        <f t="shared" si="514"/>
        <v>90</v>
      </c>
      <c r="LO61" s="19">
        <f t="shared" si="514"/>
        <v>126</v>
      </c>
      <c r="LP61" s="19">
        <f t="shared" si="514"/>
        <v>596</v>
      </c>
      <c r="LQ61" s="19">
        <f t="shared" si="514"/>
        <v>96</v>
      </c>
      <c r="LR61" s="19">
        <f t="shared" ref="LR61:OC61" si="515">LR55-LS55</f>
        <v>58</v>
      </c>
      <c r="LS61" s="19">
        <f t="shared" si="515"/>
        <v>147</v>
      </c>
      <c r="LT61" s="19">
        <f t="shared" si="515"/>
        <v>157</v>
      </c>
      <c r="LU61" s="19">
        <f t="shared" si="515"/>
        <v>312</v>
      </c>
      <c r="LV61" s="19">
        <f t="shared" si="515"/>
        <v>370</v>
      </c>
      <c r="LW61" s="19">
        <f t="shared" si="515"/>
        <v>74</v>
      </c>
      <c r="LX61" s="19">
        <f t="shared" si="515"/>
        <v>127</v>
      </c>
      <c r="LY61" s="19">
        <f t="shared" si="515"/>
        <v>71</v>
      </c>
      <c r="LZ61" s="19">
        <f t="shared" si="515"/>
        <v>72</v>
      </c>
      <c r="MA61" s="19">
        <f t="shared" si="515"/>
        <v>66</v>
      </c>
      <c r="MB61" s="19">
        <f t="shared" si="515"/>
        <v>121</v>
      </c>
      <c r="MC61" s="19">
        <f t="shared" si="515"/>
        <v>193</v>
      </c>
      <c r="MD61" s="19">
        <f t="shared" si="515"/>
        <v>141</v>
      </c>
      <c r="ME61" s="19">
        <f t="shared" si="515"/>
        <v>138</v>
      </c>
      <c r="MF61" s="19">
        <f t="shared" si="515"/>
        <v>232</v>
      </c>
      <c r="MG61" s="19">
        <f t="shared" si="515"/>
        <v>202</v>
      </c>
      <c r="MH61" s="19">
        <f t="shared" si="515"/>
        <v>681</v>
      </c>
      <c r="MI61" s="19">
        <f t="shared" si="515"/>
        <v>188</v>
      </c>
      <c r="MJ61" s="19">
        <f t="shared" si="515"/>
        <v>304</v>
      </c>
      <c r="MK61" s="19">
        <f t="shared" si="515"/>
        <v>400</v>
      </c>
      <c r="ML61" s="19">
        <f t="shared" si="515"/>
        <v>380</v>
      </c>
      <c r="MM61" s="19">
        <f t="shared" si="515"/>
        <v>878</v>
      </c>
      <c r="MN61" s="19">
        <f t="shared" si="515"/>
        <v>1366</v>
      </c>
      <c r="MO61" s="19">
        <f t="shared" si="515"/>
        <v>1214</v>
      </c>
      <c r="MP61" s="19">
        <f t="shared" si="515"/>
        <v>833</v>
      </c>
      <c r="MQ61" s="19">
        <f t="shared" si="515"/>
        <v>961</v>
      </c>
      <c r="MR61" s="19">
        <f t="shared" si="515"/>
        <v>1968</v>
      </c>
      <c r="MS61" s="19">
        <f t="shared" si="515"/>
        <v>1701</v>
      </c>
      <c r="MT61" s="19">
        <f t="shared" si="515"/>
        <v>1721</v>
      </c>
      <c r="MU61" s="19">
        <f t="shared" si="515"/>
        <v>2704</v>
      </c>
      <c r="MV61" s="19">
        <f t="shared" si="515"/>
        <v>3741</v>
      </c>
      <c r="MW61" s="19">
        <f t="shared" si="515"/>
        <v>4485</v>
      </c>
      <c r="MX61" s="19">
        <f t="shared" si="515"/>
        <v>4484</v>
      </c>
      <c r="MY61" s="19">
        <f t="shared" si="515"/>
        <v>5844</v>
      </c>
      <c r="MZ61" s="19">
        <f t="shared" si="515"/>
        <v>6720</v>
      </c>
      <c r="NA61" s="19">
        <f t="shared" si="515"/>
        <v>8521</v>
      </c>
      <c r="NB61" s="19">
        <f t="shared" si="515"/>
        <v>11603</v>
      </c>
      <c r="NC61" s="19">
        <f t="shared" si="515"/>
        <v>8006</v>
      </c>
      <c r="ND61" s="19">
        <f t="shared" si="515"/>
        <v>6765</v>
      </c>
      <c r="NE61" s="19">
        <f t="shared" si="515"/>
        <v>7888</v>
      </c>
      <c r="NF61" s="19">
        <f t="shared" si="515"/>
        <v>8251</v>
      </c>
      <c r="NG61" s="19">
        <f t="shared" si="515"/>
        <v>7035</v>
      </c>
      <c r="NH61" s="19">
        <f>NH55-NI55</f>
        <v>9330</v>
      </c>
      <c r="NI61" s="19">
        <f>NI55-NJ55</f>
        <v>8441</v>
      </c>
      <c r="NJ61" s="19">
        <f t="shared" si="515"/>
        <v>6126</v>
      </c>
      <c r="NK61" s="19">
        <f t="shared" si="515"/>
        <v>7972</v>
      </c>
      <c r="NL61" s="19">
        <f t="shared" si="515"/>
        <v>11724</v>
      </c>
      <c r="NM61" s="19">
        <f t="shared" si="515"/>
        <v>8728</v>
      </c>
      <c r="NN61" s="19">
        <f t="shared" si="515"/>
        <v>9783</v>
      </c>
      <c r="NO61" s="19">
        <f t="shared" si="515"/>
        <v>12445</v>
      </c>
      <c r="NP61" s="19">
        <f t="shared" si="515"/>
        <v>10602</v>
      </c>
      <c r="NQ61" s="19">
        <f t="shared" si="515"/>
        <v>9958</v>
      </c>
      <c r="NR61" s="19">
        <f t="shared" si="515"/>
        <v>12051</v>
      </c>
      <c r="NS61" s="19">
        <f t="shared" si="515"/>
        <v>12900</v>
      </c>
      <c r="NT61" s="19">
        <f t="shared" si="515"/>
        <v>7517</v>
      </c>
      <c r="NU61" s="19">
        <f t="shared" si="515"/>
        <v>7496</v>
      </c>
      <c r="NV61" s="19">
        <f t="shared" si="515"/>
        <v>5931</v>
      </c>
      <c r="NW61" s="19">
        <f t="shared" si="515"/>
        <v>6364</v>
      </c>
      <c r="NX61" s="19">
        <f t="shared" si="515"/>
        <v>6685</v>
      </c>
      <c r="NY61" s="19">
        <f t="shared" si="515"/>
        <v>5191</v>
      </c>
      <c r="NZ61" s="19">
        <f t="shared" si="515"/>
        <v>6510</v>
      </c>
      <c r="OA61" s="19">
        <f t="shared" si="515"/>
        <v>2405</v>
      </c>
      <c r="OB61" s="19">
        <f t="shared" si="515"/>
        <v>2307</v>
      </c>
      <c r="OC61" s="19">
        <f t="shared" si="515"/>
        <v>2029</v>
      </c>
      <c r="OD61" s="19">
        <f t="shared" ref="OD61:OG61" si="516">OD55-OE55</f>
        <v>1097</v>
      </c>
      <c r="OE61" s="19">
        <f t="shared" si="516"/>
        <v>1375</v>
      </c>
      <c r="OF61" s="19">
        <f t="shared" si="516"/>
        <v>111</v>
      </c>
      <c r="OG61" s="19">
        <f t="shared" si="516"/>
        <v>1070</v>
      </c>
    </row>
    <row r="62" spans="1:397">
      <c r="A62" s="13" t="s">
        <v>99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>
        <v>0</v>
      </c>
      <c r="IF62" s="13">
        <v>0</v>
      </c>
      <c r="IG62" s="13">
        <v>0</v>
      </c>
      <c r="IH62" s="13">
        <v>0</v>
      </c>
      <c r="II62" s="13">
        <v>0</v>
      </c>
      <c r="IJ62" s="13">
        <v>0</v>
      </c>
      <c r="IK62" s="13">
        <v>1</v>
      </c>
      <c r="IL62" s="13">
        <v>0</v>
      </c>
      <c r="IM62" s="13">
        <v>0</v>
      </c>
      <c r="IN62" s="13">
        <v>0</v>
      </c>
      <c r="IO62" s="13">
        <v>0</v>
      </c>
      <c r="IP62" s="13">
        <v>0</v>
      </c>
      <c r="IQ62" s="13">
        <v>0</v>
      </c>
      <c r="IR62" s="13">
        <v>2</v>
      </c>
      <c r="IS62" s="13">
        <v>0</v>
      </c>
      <c r="IT62" s="13">
        <v>0</v>
      </c>
      <c r="IU62" s="13">
        <v>0</v>
      </c>
      <c r="IV62" s="13">
        <v>0</v>
      </c>
      <c r="IW62" s="13">
        <v>0</v>
      </c>
      <c r="IX62" s="13">
        <v>0</v>
      </c>
      <c r="IY62" s="13">
        <v>0</v>
      </c>
      <c r="IZ62" s="13">
        <v>0</v>
      </c>
      <c r="JA62" s="13">
        <v>0</v>
      </c>
      <c r="JB62" s="13">
        <v>0</v>
      </c>
      <c r="JC62" s="13">
        <v>1</v>
      </c>
      <c r="JD62" s="13">
        <v>0</v>
      </c>
      <c r="JE62" s="13">
        <v>0</v>
      </c>
      <c r="JF62" s="13">
        <v>2</v>
      </c>
      <c r="JG62" s="13">
        <v>3</v>
      </c>
      <c r="JH62" s="13">
        <v>2</v>
      </c>
      <c r="JI62" s="13">
        <v>19</v>
      </c>
      <c r="JJ62" s="13">
        <v>22</v>
      </c>
      <c r="JK62" s="13">
        <v>26</v>
      </c>
      <c r="JL62" s="13">
        <v>38</v>
      </c>
      <c r="JM62" s="13">
        <v>30</v>
      </c>
      <c r="JN62" s="13">
        <v>25</v>
      </c>
      <c r="JO62" s="13">
        <v>35</v>
      </c>
      <c r="JP62" s="13">
        <v>28</v>
      </c>
      <c r="JQ62" s="13">
        <v>15</v>
      </c>
      <c r="JR62" s="13">
        <v>16</v>
      </c>
      <c r="JS62" s="13">
        <v>14</v>
      </c>
      <c r="JT62" s="13">
        <v>10</v>
      </c>
      <c r="JU62" s="13">
        <v>9</v>
      </c>
      <c r="JV62" s="13">
        <v>9</v>
      </c>
      <c r="JW62" s="13">
        <v>11</v>
      </c>
      <c r="JX62" s="13">
        <v>6</v>
      </c>
      <c r="JY62" s="13">
        <v>11</v>
      </c>
      <c r="JZ62" s="13">
        <v>11</v>
      </c>
      <c r="KA62" s="13">
        <v>17</v>
      </c>
      <c r="KB62" s="13">
        <v>13</v>
      </c>
      <c r="KC62" s="13">
        <v>16</v>
      </c>
      <c r="KD62" s="13">
        <v>6</v>
      </c>
      <c r="KE62" s="13">
        <v>9</v>
      </c>
      <c r="KF62" s="13">
        <v>9</v>
      </c>
      <c r="KG62" s="13">
        <v>9</v>
      </c>
      <c r="KH62" s="13">
        <v>9</v>
      </c>
      <c r="KI62" s="13">
        <v>18</v>
      </c>
      <c r="KJ62" s="13">
        <v>19</v>
      </c>
      <c r="KK62" s="13">
        <v>26</v>
      </c>
      <c r="KL62" s="13">
        <v>17</v>
      </c>
      <c r="KM62" s="13">
        <v>27</v>
      </c>
      <c r="KN62" s="13">
        <v>18</v>
      </c>
      <c r="KO62" s="13">
        <v>19</v>
      </c>
      <c r="KP62" s="13">
        <v>20</v>
      </c>
      <c r="KQ62" s="13">
        <v>22</v>
      </c>
      <c r="KR62" s="13">
        <v>21</v>
      </c>
      <c r="KS62" s="13">
        <v>28</v>
      </c>
      <c r="KT62" s="13">
        <v>20</v>
      </c>
      <c r="KU62" s="13">
        <v>24</v>
      </c>
      <c r="KV62" s="13">
        <v>22</v>
      </c>
      <c r="KW62" s="13">
        <v>33</v>
      </c>
      <c r="KX62" s="13">
        <v>32</v>
      </c>
      <c r="KY62" s="13">
        <v>37</v>
      </c>
      <c r="KZ62" s="13">
        <v>32</v>
      </c>
      <c r="LA62" s="13">
        <v>22</v>
      </c>
      <c r="LB62" s="13">
        <v>17</v>
      </c>
      <c r="LC62" s="19">
        <f t="shared" si="513"/>
        <v>19</v>
      </c>
      <c r="LD62" s="13">
        <v>17</v>
      </c>
      <c r="LE62" s="13">
        <v>18</v>
      </c>
      <c r="LF62" s="13">
        <v>24</v>
      </c>
      <c r="LG62" s="13">
        <v>30</v>
      </c>
      <c r="LH62" s="13">
        <v>18</v>
      </c>
      <c r="LI62" s="13">
        <v>35</v>
      </c>
      <c r="LJ62" s="13">
        <v>23</v>
      </c>
      <c r="LK62" s="13">
        <v>38</v>
      </c>
      <c r="LL62" s="13">
        <v>51</v>
      </c>
      <c r="LM62" s="13">
        <v>37</v>
      </c>
      <c r="LN62" s="19">
        <v>47</v>
      </c>
    </row>
    <row r="63" spans="1:397">
      <c r="A63" s="13" t="s">
        <v>108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>
        <v>3</v>
      </c>
      <c r="IF63" s="13">
        <v>3</v>
      </c>
      <c r="IG63" s="13">
        <v>3</v>
      </c>
      <c r="IH63" s="13">
        <v>3</v>
      </c>
      <c r="II63" s="13">
        <v>3</v>
      </c>
      <c r="IJ63" s="13">
        <v>3</v>
      </c>
      <c r="IK63" s="13">
        <v>3</v>
      </c>
      <c r="IL63" s="13">
        <v>2</v>
      </c>
      <c r="IM63" s="13">
        <v>2</v>
      </c>
      <c r="IN63" s="13">
        <v>3</v>
      </c>
      <c r="IO63" s="13">
        <v>3</v>
      </c>
      <c r="IP63" s="13">
        <v>3</v>
      </c>
      <c r="IQ63" s="13">
        <v>6</v>
      </c>
      <c r="IR63" s="13">
        <v>11</v>
      </c>
      <c r="IS63" s="13">
        <v>9</v>
      </c>
      <c r="IT63" s="13">
        <v>18</v>
      </c>
      <c r="IU63" s="13">
        <v>42</v>
      </c>
      <c r="IV63" s="13">
        <v>63</v>
      </c>
      <c r="IW63" s="13">
        <v>84</v>
      </c>
      <c r="IX63" s="13">
        <v>121</v>
      </c>
      <c r="IY63" s="13">
        <v>154</v>
      </c>
      <c r="IZ63" s="13">
        <v>177</v>
      </c>
      <c r="JA63" s="13">
        <v>217</v>
      </c>
      <c r="JB63" s="13">
        <v>245</v>
      </c>
      <c r="JC63" s="13">
        <v>276</v>
      </c>
      <c r="JD63" s="13">
        <v>289</v>
      </c>
      <c r="JE63" s="13">
        <v>320</v>
      </c>
      <c r="JF63" s="13">
        <v>337</v>
      </c>
      <c r="JG63" s="13">
        <v>331</v>
      </c>
      <c r="JH63" s="13">
        <v>337</v>
      </c>
      <c r="JI63" s="13">
        <v>344</v>
      </c>
      <c r="JJ63" s="13">
        <v>332</v>
      </c>
      <c r="JK63" s="13">
        <v>334</v>
      </c>
      <c r="JL63" s="13">
        <v>326</v>
      </c>
      <c r="JM63" s="13">
        <v>297</v>
      </c>
      <c r="JN63" s="13">
        <v>295</v>
      </c>
      <c r="JO63" s="13">
        <v>284</v>
      </c>
      <c r="JP63" s="13">
        <v>281</v>
      </c>
      <c r="JQ63" s="13">
        <v>274</v>
      </c>
      <c r="JR63" s="13">
        <v>285</v>
      </c>
      <c r="JS63" s="13">
        <v>337</v>
      </c>
      <c r="JT63" s="13">
        <v>400</v>
      </c>
      <c r="JU63" s="13">
        <v>492</v>
      </c>
      <c r="JV63" s="13">
        <v>492</v>
      </c>
      <c r="JW63" s="13">
        <v>574</v>
      </c>
      <c r="JX63" s="13">
        <v>598</v>
      </c>
      <c r="JY63" s="13">
        <v>606</v>
      </c>
      <c r="JZ63" s="13">
        <v>615</v>
      </c>
      <c r="KA63" s="13">
        <v>616</v>
      </c>
      <c r="KB63" s="13">
        <v>628</v>
      </c>
      <c r="KC63" s="13">
        <v>629</v>
      </c>
      <c r="KD63" s="13">
        <v>626</v>
      </c>
      <c r="KE63" s="13">
        <v>654</v>
      </c>
      <c r="KF63" s="13">
        <v>654</v>
      </c>
      <c r="KG63" s="13">
        <v>654</v>
      </c>
      <c r="KH63" s="13">
        <v>651</v>
      </c>
      <c r="KI63" s="13">
        <v>647</v>
      </c>
      <c r="KJ63" s="13">
        <v>631</v>
      </c>
      <c r="KK63" s="13">
        <v>623</v>
      </c>
      <c r="KL63" s="13">
        <v>600</v>
      </c>
      <c r="KM63" s="13">
        <v>599</v>
      </c>
      <c r="KN63" s="13">
        <v>582</v>
      </c>
      <c r="KO63" s="13">
        <v>544</v>
      </c>
      <c r="KP63" s="13">
        <v>544</v>
      </c>
      <c r="KQ63" s="13">
        <v>544</v>
      </c>
      <c r="KR63" s="13">
        <v>546</v>
      </c>
      <c r="KS63" s="13">
        <v>548</v>
      </c>
      <c r="KT63" s="13">
        <v>544</v>
      </c>
      <c r="KU63" s="13">
        <v>549</v>
      </c>
      <c r="KV63" s="13">
        <v>576</v>
      </c>
      <c r="KW63" s="13">
        <v>589</v>
      </c>
      <c r="KX63" s="13">
        <v>610</v>
      </c>
      <c r="KY63" s="13">
        <v>620</v>
      </c>
      <c r="KZ63" s="13">
        <v>619</v>
      </c>
      <c r="LA63" s="13">
        <v>610</v>
      </c>
      <c r="LB63" s="13">
        <v>621</v>
      </c>
      <c r="LC63" s="13">
        <v>647</v>
      </c>
      <c r="LD63" s="13">
        <v>673</v>
      </c>
      <c r="LE63" s="13">
        <v>675</v>
      </c>
      <c r="LF63" s="13">
        <v>674</v>
      </c>
      <c r="LG63" s="13">
        <v>670</v>
      </c>
      <c r="LH63" s="13">
        <v>690</v>
      </c>
      <c r="LI63" s="13">
        <v>705</v>
      </c>
      <c r="LJ63" s="13">
        <v>715</v>
      </c>
      <c r="LK63" s="13">
        <v>729</v>
      </c>
      <c r="LL63" s="13">
        <v>742</v>
      </c>
      <c r="LM63" s="13">
        <v>721</v>
      </c>
      <c r="LN63" s="19">
        <v>982</v>
      </c>
    </row>
    <row r="67" spans="1:397">
      <c r="A67" s="11" t="s">
        <v>69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8">
        <v>44006</v>
      </c>
      <c r="IH67" s="8">
        <v>44005</v>
      </c>
      <c r="II67" s="8">
        <v>44004</v>
      </c>
      <c r="IJ67" s="8">
        <v>44003</v>
      </c>
      <c r="IK67" s="8">
        <v>44002</v>
      </c>
      <c r="IL67" s="8">
        <v>44001</v>
      </c>
      <c r="IM67" s="8">
        <v>44000</v>
      </c>
      <c r="IN67" s="8">
        <v>43999</v>
      </c>
      <c r="IO67" s="8">
        <v>43998</v>
      </c>
      <c r="IP67" s="8">
        <v>43997</v>
      </c>
      <c r="IQ67" s="8">
        <v>43996</v>
      </c>
      <c r="IR67" s="8">
        <v>43995</v>
      </c>
      <c r="IS67" s="8">
        <v>43994</v>
      </c>
      <c r="IT67" s="8">
        <v>43993</v>
      </c>
      <c r="IU67" s="8">
        <v>43992</v>
      </c>
      <c r="IV67" s="8">
        <v>43991</v>
      </c>
      <c r="IW67" s="8">
        <v>43990</v>
      </c>
      <c r="IX67" s="8">
        <v>43989</v>
      </c>
      <c r="IY67" s="8">
        <v>43988</v>
      </c>
      <c r="IZ67" s="8">
        <v>43987</v>
      </c>
      <c r="JA67" s="8">
        <v>43986</v>
      </c>
      <c r="JB67" s="8">
        <v>43985</v>
      </c>
      <c r="JC67" s="8">
        <v>43984</v>
      </c>
      <c r="JD67" s="8">
        <v>43983</v>
      </c>
      <c r="JE67" s="8">
        <v>43982</v>
      </c>
      <c r="JF67" s="8">
        <v>43981</v>
      </c>
      <c r="JG67" s="8">
        <v>43980</v>
      </c>
      <c r="JH67" s="8">
        <v>43979</v>
      </c>
      <c r="JI67" s="8">
        <v>43978</v>
      </c>
      <c r="JJ67" s="8">
        <v>43977</v>
      </c>
      <c r="JK67" s="8">
        <v>43976</v>
      </c>
      <c r="JL67" s="8">
        <v>43975</v>
      </c>
      <c r="JM67" s="8">
        <v>43974</v>
      </c>
      <c r="JN67" s="8">
        <v>43973</v>
      </c>
      <c r="JO67" s="8">
        <v>43972</v>
      </c>
      <c r="JP67" s="8">
        <v>43971</v>
      </c>
      <c r="JQ67" s="8">
        <v>43970</v>
      </c>
      <c r="JR67" s="8">
        <v>43969</v>
      </c>
      <c r="JS67" s="8">
        <v>43968</v>
      </c>
      <c r="JT67" s="8">
        <v>43967</v>
      </c>
      <c r="JU67" s="8">
        <v>43966</v>
      </c>
      <c r="JV67" s="8">
        <v>43965</v>
      </c>
      <c r="JW67" s="8">
        <v>43964</v>
      </c>
      <c r="JX67" s="8">
        <v>43963</v>
      </c>
      <c r="JY67" s="8">
        <v>43962</v>
      </c>
      <c r="JZ67" s="8">
        <v>43961</v>
      </c>
      <c r="KA67" s="8">
        <v>43960</v>
      </c>
      <c r="KB67" s="8">
        <v>43959</v>
      </c>
      <c r="KC67" s="8">
        <v>43958</v>
      </c>
      <c r="KD67" s="8">
        <v>43957</v>
      </c>
      <c r="KE67" s="8">
        <v>43956</v>
      </c>
      <c r="KF67" s="8">
        <v>43955</v>
      </c>
      <c r="KG67" s="8">
        <v>43954</v>
      </c>
      <c r="KH67" s="8">
        <v>43953</v>
      </c>
      <c r="KI67" s="8">
        <v>43952</v>
      </c>
      <c r="KJ67" s="8">
        <v>43951</v>
      </c>
      <c r="KK67" s="8">
        <v>43950</v>
      </c>
      <c r="KL67" s="8">
        <v>43949</v>
      </c>
      <c r="KM67" s="8">
        <v>43948</v>
      </c>
      <c r="KN67" s="8">
        <v>43947</v>
      </c>
      <c r="KO67" s="8">
        <v>43946</v>
      </c>
      <c r="KP67" s="8">
        <v>43945</v>
      </c>
      <c r="KQ67" s="8">
        <v>43944</v>
      </c>
      <c r="KR67" s="8">
        <v>43943</v>
      </c>
      <c r="KS67" s="8">
        <v>43942</v>
      </c>
      <c r="KT67" s="8">
        <v>43941</v>
      </c>
      <c r="KU67" s="8">
        <v>43940</v>
      </c>
      <c r="KV67" s="8">
        <v>43939</v>
      </c>
      <c r="KW67" s="8">
        <v>43938</v>
      </c>
      <c r="KX67" s="8">
        <v>43937</v>
      </c>
      <c r="KY67" s="8">
        <v>43936</v>
      </c>
      <c r="KZ67" s="8">
        <v>43935</v>
      </c>
      <c r="LA67" s="8">
        <v>43934</v>
      </c>
      <c r="LB67" s="8">
        <v>43933</v>
      </c>
      <c r="LC67" s="8">
        <v>43932</v>
      </c>
      <c r="LD67" s="8">
        <v>43931</v>
      </c>
      <c r="LE67" s="8">
        <v>43930</v>
      </c>
      <c r="LF67" s="8">
        <v>43929</v>
      </c>
      <c r="LG67" s="8">
        <v>43928</v>
      </c>
      <c r="LH67" s="8">
        <v>43927</v>
      </c>
      <c r="LI67" s="8">
        <v>43926</v>
      </c>
      <c r="LJ67" s="8">
        <v>43925</v>
      </c>
      <c r="LK67" s="8">
        <v>43924</v>
      </c>
      <c r="LL67" s="8">
        <v>43923</v>
      </c>
      <c r="LM67" s="8">
        <v>43922</v>
      </c>
      <c r="LN67" s="8">
        <v>43921</v>
      </c>
      <c r="LO67" s="8">
        <v>43920</v>
      </c>
      <c r="LP67" s="8">
        <v>43919</v>
      </c>
      <c r="LQ67" s="8">
        <v>43918</v>
      </c>
      <c r="LR67" s="8">
        <v>43917</v>
      </c>
      <c r="LS67" s="8">
        <v>43916</v>
      </c>
      <c r="LT67" s="8">
        <v>43915</v>
      </c>
      <c r="LU67" s="8">
        <v>43914</v>
      </c>
      <c r="LV67" s="8">
        <v>43913</v>
      </c>
      <c r="LW67" s="8">
        <v>43912</v>
      </c>
      <c r="LX67" s="8">
        <v>43911</v>
      </c>
      <c r="LY67" s="8">
        <v>43910</v>
      </c>
      <c r="LZ67" s="8">
        <v>43909</v>
      </c>
      <c r="MA67" s="8">
        <v>43908</v>
      </c>
      <c r="MB67" s="8">
        <v>43907</v>
      </c>
      <c r="MC67" s="8">
        <v>43906</v>
      </c>
      <c r="MD67" s="8">
        <v>43905</v>
      </c>
      <c r="ME67" s="8">
        <v>43904</v>
      </c>
      <c r="MF67" s="8">
        <v>43903</v>
      </c>
      <c r="MG67" s="8">
        <v>43902</v>
      </c>
      <c r="MH67" s="8">
        <v>43901</v>
      </c>
      <c r="MI67" s="8">
        <v>43900</v>
      </c>
      <c r="MJ67" s="8">
        <v>43899</v>
      </c>
      <c r="MK67" s="8">
        <v>43898</v>
      </c>
      <c r="ML67" s="8">
        <v>43897</v>
      </c>
      <c r="MM67" s="8">
        <v>43896</v>
      </c>
      <c r="MN67" s="8">
        <v>43895</v>
      </c>
      <c r="MO67" s="8">
        <v>43894</v>
      </c>
      <c r="MP67" s="8">
        <v>43893</v>
      </c>
      <c r="MQ67" s="8">
        <v>43892</v>
      </c>
      <c r="MR67" s="8">
        <v>43891</v>
      </c>
      <c r="MS67" s="12">
        <v>43890</v>
      </c>
      <c r="MT67" s="12">
        <v>43889</v>
      </c>
      <c r="MU67" s="12">
        <v>43888</v>
      </c>
      <c r="MV67" s="12">
        <v>43887</v>
      </c>
      <c r="MW67" s="12">
        <v>43886</v>
      </c>
      <c r="MX67" s="12">
        <v>43885</v>
      </c>
      <c r="MY67" s="12">
        <v>43884</v>
      </c>
      <c r="MZ67" s="12">
        <v>43883</v>
      </c>
      <c r="NA67" s="12">
        <v>43882</v>
      </c>
      <c r="NB67" s="12">
        <v>43881</v>
      </c>
      <c r="NC67" s="12">
        <v>43880</v>
      </c>
      <c r="ND67" s="12">
        <v>43879</v>
      </c>
      <c r="NE67" s="12">
        <v>43878</v>
      </c>
      <c r="NF67" s="12">
        <v>43877</v>
      </c>
      <c r="NG67" s="12">
        <v>43876</v>
      </c>
      <c r="NH67" s="12">
        <v>43875</v>
      </c>
      <c r="NI67" s="12">
        <v>43874</v>
      </c>
      <c r="NJ67" s="12">
        <v>43873</v>
      </c>
      <c r="NK67" s="12">
        <v>43872</v>
      </c>
      <c r="NL67" s="12">
        <v>43871</v>
      </c>
      <c r="NM67" s="12">
        <v>43870</v>
      </c>
      <c r="NN67" s="12">
        <v>43869</v>
      </c>
      <c r="NO67" s="12">
        <v>43868</v>
      </c>
      <c r="NP67" s="12">
        <v>43867</v>
      </c>
      <c r="NQ67" s="12">
        <v>43866</v>
      </c>
      <c r="NR67" s="12">
        <v>43865</v>
      </c>
      <c r="NS67" s="12">
        <v>43864</v>
      </c>
      <c r="NT67" s="12">
        <v>43863</v>
      </c>
      <c r="NU67" s="12">
        <v>43862</v>
      </c>
      <c r="NV67" s="12">
        <v>43861</v>
      </c>
      <c r="NW67" s="12">
        <v>43860</v>
      </c>
      <c r="NX67" s="12">
        <v>43859</v>
      </c>
      <c r="NY67" s="12">
        <v>43858</v>
      </c>
      <c r="NZ67" s="12">
        <v>43857</v>
      </c>
      <c r="OA67" s="12">
        <v>43856</v>
      </c>
      <c r="OB67" s="12">
        <v>43855</v>
      </c>
      <c r="OC67" s="12">
        <v>43854</v>
      </c>
      <c r="OD67" s="12">
        <v>43853</v>
      </c>
      <c r="OE67" s="12">
        <v>43852</v>
      </c>
      <c r="OF67" s="12">
        <v>43851</v>
      </c>
      <c r="OG67" s="12">
        <v>43850</v>
      </c>
    </row>
    <row r="68" spans="1:397">
      <c r="A68" s="13" t="s">
        <v>62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>
        <v>0</v>
      </c>
      <c r="IL68" s="13">
        <v>0</v>
      </c>
      <c r="IM68" s="13">
        <v>0</v>
      </c>
      <c r="IN68" s="13">
        <v>0</v>
      </c>
      <c r="IO68" s="13">
        <v>0</v>
      </c>
      <c r="IP68" s="13">
        <v>0</v>
      </c>
      <c r="IQ68" s="13">
        <v>0</v>
      </c>
      <c r="IR68" s="13">
        <v>0</v>
      </c>
      <c r="IS68" s="13">
        <v>0</v>
      </c>
      <c r="IT68" s="13">
        <v>0</v>
      </c>
      <c r="IU68" s="13">
        <v>0</v>
      </c>
      <c r="IV68" s="13">
        <v>0</v>
      </c>
      <c r="IW68" s="13">
        <v>0</v>
      </c>
      <c r="IX68" s="13">
        <v>0</v>
      </c>
      <c r="IY68" s="13">
        <v>0</v>
      </c>
      <c r="IZ68" s="13">
        <v>0</v>
      </c>
      <c r="JA68" s="13">
        <v>0</v>
      </c>
      <c r="JB68" s="13">
        <v>0</v>
      </c>
      <c r="JC68" s="13">
        <v>0</v>
      </c>
      <c r="JD68" s="13">
        <v>0</v>
      </c>
      <c r="JE68" s="13">
        <v>0</v>
      </c>
      <c r="JF68" s="13">
        <v>0</v>
      </c>
      <c r="JG68" s="13">
        <v>0</v>
      </c>
      <c r="JH68" s="13">
        <v>0</v>
      </c>
      <c r="JI68" s="13">
        <v>0</v>
      </c>
      <c r="JJ68" s="13">
        <v>0</v>
      </c>
      <c r="JK68" s="13">
        <v>0</v>
      </c>
      <c r="JL68" s="13">
        <v>0</v>
      </c>
      <c r="JM68" s="13">
        <v>0</v>
      </c>
      <c r="JN68" s="13">
        <v>0</v>
      </c>
      <c r="JO68" s="13">
        <v>0</v>
      </c>
      <c r="JP68" s="13">
        <v>0</v>
      </c>
      <c r="JQ68" s="13">
        <v>0</v>
      </c>
      <c r="JR68" s="13">
        <v>1</v>
      </c>
      <c r="JS68" s="13">
        <v>0</v>
      </c>
      <c r="JT68" s="13">
        <v>0</v>
      </c>
      <c r="JU68" s="13">
        <v>0</v>
      </c>
      <c r="JV68" s="13">
        <v>0</v>
      </c>
      <c r="JW68" s="13">
        <v>0</v>
      </c>
      <c r="JX68" s="13">
        <v>0</v>
      </c>
      <c r="JY68" s="13">
        <v>0</v>
      </c>
      <c r="JZ68" s="13">
        <v>5</v>
      </c>
      <c r="KA68" s="13">
        <v>1</v>
      </c>
      <c r="KB68" s="13">
        <v>0</v>
      </c>
      <c r="KC68" s="13">
        <v>0</v>
      </c>
      <c r="KD68" s="13">
        <v>0</v>
      </c>
      <c r="KE68" s="13">
        <v>0</v>
      </c>
      <c r="KF68" s="13">
        <v>0</v>
      </c>
      <c r="KG68" s="13">
        <v>0</v>
      </c>
      <c r="KH68" s="13">
        <v>0</v>
      </c>
      <c r="KI68" s="13">
        <v>0</v>
      </c>
      <c r="KJ68" s="13">
        <v>0</v>
      </c>
      <c r="KK68" s="13">
        <v>0</v>
      </c>
      <c r="KL68" s="13">
        <v>0</v>
      </c>
      <c r="KM68" s="13">
        <v>0</v>
      </c>
      <c r="KN68" s="13">
        <v>0</v>
      </c>
      <c r="KO68" s="13">
        <v>0</v>
      </c>
      <c r="KP68" s="13">
        <v>0</v>
      </c>
      <c r="KQ68" s="13">
        <v>0</v>
      </c>
      <c r="KR68" s="13">
        <v>0</v>
      </c>
      <c r="KS68" s="13">
        <v>0</v>
      </c>
      <c r="KT68" s="13">
        <v>0</v>
      </c>
      <c r="KU68" s="13">
        <v>0</v>
      </c>
      <c r="KV68" s="13">
        <v>0</v>
      </c>
      <c r="KW68" s="13">
        <v>0</v>
      </c>
      <c r="KX68" s="13">
        <v>0</v>
      </c>
      <c r="KY68" s="13">
        <v>0</v>
      </c>
      <c r="KZ68" s="13">
        <v>0</v>
      </c>
      <c r="LA68" s="13">
        <v>0</v>
      </c>
      <c r="LB68" s="13">
        <v>0</v>
      </c>
      <c r="LC68" s="13">
        <v>0</v>
      </c>
      <c r="LD68" s="13">
        <v>0</v>
      </c>
      <c r="LE68" s="13">
        <v>0</v>
      </c>
      <c r="LF68" s="13">
        <v>0</v>
      </c>
      <c r="LG68" s="13">
        <v>0</v>
      </c>
      <c r="LH68" s="13">
        <v>0</v>
      </c>
      <c r="LI68" s="13">
        <v>0</v>
      </c>
      <c r="LJ68" s="13">
        <v>0</v>
      </c>
      <c r="LK68" s="13">
        <v>1</v>
      </c>
      <c r="LL68" s="13">
        <v>0</v>
      </c>
      <c r="LM68" s="13">
        <v>0</v>
      </c>
      <c r="LN68" s="13">
        <v>1</v>
      </c>
      <c r="LO68" s="13">
        <v>0</v>
      </c>
      <c r="LP68" s="13">
        <v>0</v>
      </c>
      <c r="LQ68" s="13">
        <v>0</v>
      </c>
      <c r="LR68" s="13">
        <v>0</v>
      </c>
      <c r="LS68" s="13">
        <v>0</v>
      </c>
      <c r="LT68" s="13">
        <v>0</v>
      </c>
      <c r="LU68" s="13">
        <v>0</v>
      </c>
      <c r="LV68" s="13">
        <v>1</v>
      </c>
      <c r="LW68" s="13">
        <v>0</v>
      </c>
      <c r="LX68" s="13">
        <v>0</v>
      </c>
      <c r="LY68" s="13">
        <v>0</v>
      </c>
      <c r="LZ68" s="13">
        <v>0</v>
      </c>
      <c r="MA68" s="13">
        <v>0</v>
      </c>
      <c r="MB68" s="13">
        <v>1</v>
      </c>
      <c r="MC68" s="13">
        <v>1</v>
      </c>
      <c r="MD68" s="13">
        <v>4</v>
      </c>
      <c r="ME68" s="13">
        <v>4</v>
      </c>
      <c r="MF68" s="13">
        <v>4</v>
      </c>
      <c r="MG68" s="13">
        <v>5</v>
      </c>
      <c r="MH68" s="13">
        <v>8</v>
      </c>
      <c r="MI68" s="13">
        <v>13</v>
      </c>
      <c r="MJ68" s="13">
        <v>17</v>
      </c>
      <c r="MK68" s="13">
        <v>36</v>
      </c>
      <c r="ML68" s="13">
        <v>41</v>
      </c>
      <c r="MM68" s="13">
        <v>74</v>
      </c>
      <c r="MN68" s="13">
        <v>126</v>
      </c>
      <c r="MO68" s="13">
        <v>131</v>
      </c>
      <c r="MP68" s="13">
        <v>114</v>
      </c>
      <c r="MQ68" s="13">
        <v>111</v>
      </c>
      <c r="MR68" s="13">
        <v>193</v>
      </c>
      <c r="MS68" s="13">
        <v>565</v>
      </c>
      <c r="MT68" s="13">
        <v>420</v>
      </c>
      <c r="MU68" s="13">
        <v>313</v>
      </c>
      <c r="MV68" s="13">
        <v>383</v>
      </c>
      <c r="MW68" s="13">
        <v>370</v>
      </c>
      <c r="MX68" s="13">
        <v>464</v>
      </c>
      <c r="MY68" s="13">
        <v>348</v>
      </c>
      <c r="MZ68" s="13">
        <v>541</v>
      </c>
      <c r="NA68" s="13">
        <v>314</v>
      </c>
      <c r="NB68" s="13">
        <v>319</v>
      </c>
      <c r="NC68" s="13">
        <v>615</v>
      </c>
      <c r="ND68" s="13">
        <v>1660</v>
      </c>
      <c r="NE68" s="13">
        <v>1600</v>
      </c>
      <c r="NF68" s="13">
        <v>1690</v>
      </c>
      <c r="NG68" s="13">
        <v>1548</v>
      </c>
      <c r="NH68" s="13">
        <v>1923</v>
      </c>
      <c r="NI68" s="13">
        <v>3910</v>
      </c>
      <c r="NJ68" s="13">
        <v>13436</v>
      </c>
    </row>
    <row r="69" spans="1:397">
      <c r="A69" s="13" t="s">
        <v>43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>
        <v>0</v>
      </c>
      <c r="IL69" s="13">
        <v>0</v>
      </c>
      <c r="IM69" s="13">
        <v>0</v>
      </c>
      <c r="IN69" s="13">
        <v>0</v>
      </c>
      <c r="IO69" s="13">
        <v>0</v>
      </c>
      <c r="IP69" s="13">
        <v>0</v>
      </c>
      <c r="IQ69" s="13">
        <v>0</v>
      </c>
      <c r="IR69" s="13">
        <v>0</v>
      </c>
      <c r="IS69" s="13">
        <v>0</v>
      </c>
      <c r="IT69" s="13">
        <v>0</v>
      </c>
      <c r="IU69" s="13">
        <v>0</v>
      </c>
      <c r="IV69" s="13">
        <v>0</v>
      </c>
      <c r="IW69" s="13">
        <v>0</v>
      </c>
      <c r="IX69" s="13">
        <v>0</v>
      </c>
      <c r="IY69" s="13">
        <v>0</v>
      </c>
      <c r="IZ69" s="13">
        <v>0</v>
      </c>
      <c r="JA69" s="13">
        <v>0</v>
      </c>
      <c r="JB69" s="13">
        <v>0</v>
      </c>
      <c r="JC69" s="13">
        <v>0</v>
      </c>
      <c r="JD69" s="13">
        <v>0</v>
      </c>
      <c r="JE69" s="13">
        <v>1</v>
      </c>
      <c r="JF69" s="13">
        <v>1</v>
      </c>
      <c r="JG69" s="13">
        <v>0</v>
      </c>
      <c r="JH69" s="13">
        <v>0</v>
      </c>
      <c r="JI69" s="13">
        <v>0</v>
      </c>
      <c r="JJ69" s="13">
        <v>1</v>
      </c>
      <c r="JK69" s="13">
        <v>0</v>
      </c>
      <c r="JL69" s="13">
        <v>0</v>
      </c>
      <c r="JM69" s="13">
        <v>0</v>
      </c>
      <c r="JN69" s="13">
        <v>0</v>
      </c>
      <c r="JO69" s="13">
        <v>0</v>
      </c>
      <c r="JP69" s="13">
        <v>0</v>
      </c>
      <c r="JQ69" s="13">
        <v>0</v>
      </c>
      <c r="JR69" s="13">
        <v>0</v>
      </c>
      <c r="JS69" s="13">
        <v>0</v>
      </c>
      <c r="JT69" s="13">
        <v>0</v>
      </c>
      <c r="JU69" s="13">
        <v>0</v>
      </c>
      <c r="JV69" s="13">
        <v>0</v>
      </c>
      <c r="JW69" s="13">
        <v>0</v>
      </c>
      <c r="JX69" s="13">
        <v>0</v>
      </c>
      <c r="JY69" s="13">
        <v>0</v>
      </c>
      <c r="JZ69" s="13">
        <v>0</v>
      </c>
      <c r="KA69" s="13">
        <v>0</v>
      </c>
      <c r="KB69" s="13">
        <v>0</v>
      </c>
      <c r="KC69" s="13">
        <v>0</v>
      </c>
      <c r="KD69" s="13">
        <v>0</v>
      </c>
      <c r="KE69" s="13">
        <v>0</v>
      </c>
      <c r="KF69" s="13">
        <v>0</v>
      </c>
      <c r="KG69" s="13">
        <v>0</v>
      </c>
      <c r="KH69" s="13">
        <v>0</v>
      </c>
      <c r="KI69" s="13">
        <v>0</v>
      </c>
      <c r="KJ69" s="13">
        <v>0</v>
      </c>
      <c r="KK69" s="13">
        <v>0</v>
      </c>
      <c r="KL69" s="13">
        <v>0</v>
      </c>
      <c r="KM69" s="13">
        <v>0</v>
      </c>
      <c r="KN69" s="13">
        <v>12</v>
      </c>
      <c r="KO69" s="13">
        <v>11</v>
      </c>
      <c r="KP69" s="13">
        <v>24</v>
      </c>
      <c r="KQ69" s="13">
        <v>22</v>
      </c>
      <c r="KR69" s="13">
        <v>28</v>
      </c>
      <c r="KS69" s="13">
        <v>5</v>
      </c>
      <c r="KT69" s="13">
        <v>3</v>
      </c>
      <c r="KU69" s="13">
        <v>4</v>
      </c>
      <c r="KV69" s="13">
        <v>13</v>
      </c>
      <c r="KW69" s="13">
        <v>7</v>
      </c>
      <c r="KX69" s="13">
        <v>17</v>
      </c>
      <c r="KY69" s="13">
        <v>33</v>
      </c>
      <c r="KZ69" s="13">
        <v>39</v>
      </c>
      <c r="LA69" s="13">
        <v>25</v>
      </c>
      <c r="LB69" s="13">
        <v>57</v>
      </c>
      <c r="LC69" s="13">
        <v>17</v>
      </c>
      <c r="LD69" s="13">
        <v>27</v>
      </c>
      <c r="LE69" s="13">
        <v>49</v>
      </c>
      <c r="LF69" s="13">
        <v>45</v>
      </c>
      <c r="LG69" s="13">
        <v>69</v>
      </c>
      <c r="LH69" s="13">
        <v>59</v>
      </c>
      <c r="LI69" s="13">
        <v>69</v>
      </c>
      <c r="LJ69" s="13">
        <v>183</v>
      </c>
      <c r="LK69" s="13">
        <v>150</v>
      </c>
      <c r="LL69" s="13">
        <v>141</v>
      </c>
      <c r="LM69" s="13">
        <v>145</v>
      </c>
      <c r="LN69" s="13">
        <v>173</v>
      </c>
      <c r="LO69" s="13">
        <v>269</v>
      </c>
      <c r="LP69" s="13">
        <v>315</v>
      </c>
      <c r="LQ69" s="13">
        <v>467</v>
      </c>
      <c r="LR69" s="13">
        <v>360</v>
      </c>
      <c r="LS69" s="13">
        <v>523</v>
      </c>
      <c r="LT69" s="13">
        <v>382</v>
      </c>
      <c r="LU69" s="13">
        <v>472</v>
      </c>
      <c r="LV69" s="13">
        <v>426</v>
      </c>
      <c r="LW69" s="13">
        <v>434</v>
      </c>
      <c r="LX69" s="13">
        <v>463</v>
      </c>
      <c r="LY69" s="13">
        <v>502</v>
      </c>
      <c r="LZ69" s="13">
        <v>624</v>
      </c>
      <c r="MA69" s="13">
        <v>733</v>
      </c>
      <c r="MB69" s="13">
        <v>812</v>
      </c>
      <c r="MC69" s="13">
        <v>836</v>
      </c>
      <c r="MD69" s="13">
        <v>752</v>
      </c>
      <c r="ME69" s="13">
        <v>1181</v>
      </c>
      <c r="MF69" s="13">
        <v>1254</v>
      </c>
      <c r="MG69" s="13">
        <v>1103</v>
      </c>
      <c r="MH69" s="13">
        <v>1053</v>
      </c>
      <c r="MI69" s="13">
        <v>1212</v>
      </c>
      <c r="MJ69" s="13">
        <v>896</v>
      </c>
      <c r="MK69" s="13">
        <v>1163</v>
      </c>
      <c r="ML69" s="13">
        <v>1259</v>
      </c>
      <c r="MM69" s="13">
        <v>1157</v>
      </c>
      <c r="MN69" s="13">
        <v>1038</v>
      </c>
      <c r="MO69" s="13">
        <v>1426</v>
      </c>
      <c r="MP69" s="13">
        <v>1859</v>
      </c>
      <c r="MQ69" s="13">
        <v>1846</v>
      </c>
      <c r="MR69" s="13">
        <v>1958</v>
      </c>
      <c r="MS69" s="13">
        <v>1675</v>
      </c>
      <c r="MT69" s="13">
        <v>1726</v>
      </c>
      <c r="MU69" s="13">
        <v>2498</v>
      </c>
      <c r="MV69" s="13">
        <v>1535</v>
      </c>
      <c r="MW69" s="13">
        <v>1456</v>
      </c>
      <c r="MX69" s="13">
        <v>1391</v>
      </c>
      <c r="MY69" s="13">
        <v>772</v>
      </c>
      <c r="MZ69" s="13">
        <v>965</v>
      </c>
      <c r="NA69" s="13">
        <v>992</v>
      </c>
      <c r="NB69" s="13">
        <v>766</v>
      </c>
      <c r="NC69" s="13">
        <v>553</v>
      </c>
      <c r="ND69" s="13">
        <v>676</v>
      </c>
      <c r="NE69" s="13">
        <v>761</v>
      </c>
      <c r="NF69" s="13">
        <v>543</v>
      </c>
      <c r="NG69" s="13">
        <v>413</v>
      </c>
      <c r="NH69" s="13">
        <v>486</v>
      </c>
      <c r="NI69" s="13">
        <v>370</v>
      </c>
      <c r="NJ69" s="13">
        <v>538</v>
      </c>
    </row>
    <row r="70" spans="1:397">
      <c r="A70" s="13" t="s">
        <v>41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>
        <v>0</v>
      </c>
      <c r="IL70" s="13">
        <v>0</v>
      </c>
      <c r="IM70" s="13">
        <v>0</v>
      </c>
      <c r="IN70" s="13">
        <v>0</v>
      </c>
      <c r="IO70" s="13">
        <v>0</v>
      </c>
      <c r="IP70" s="13">
        <v>0</v>
      </c>
      <c r="IQ70" s="13">
        <v>0</v>
      </c>
      <c r="IR70" s="13">
        <v>0</v>
      </c>
      <c r="IS70" s="13">
        <v>0</v>
      </c>
      <c r="IT70" s="13">
        <v>0</v>
      </c>
      <c r="IU70" s="13">
        <v>0</v>
      </c>
      <c r="IV70" s="13">
        <v>0</v>
      </c>
      <c r="IW70" s="13">
        <v>0</v>
      </c>
      <c r="IX70" s="13">
        <v>0</v>
      </c>
      <c r="IY70" s="13">
        <v>0</v>
      </c>
      <c r="IZ70" s="13">
        <v>0</v>
      </c>
      <c r="JA70" s="13">
        <v>0</v>
      </c>
      <c r="JB70" s="13">
        <v>0</v>
      </c>
      <c r="JC70" s="13">
        <v>0</v>
      </c>
      <c r="JD70" s="13">
        <v>0</v>
      </c>
      <c r="JE70" s="13">
        <v>0</v>
      </c>
      <c r="JF70" s="13">
        <v>0</v>
      </c>
      <c r="JG70" s="13">
        <v>0</v>
      </c>
      <c r="JH70" s="13">
        <v>0</v>
      </c>
      <c r="JI70" s="13">
        <v>0</v>
      </c>
      <c r="JJ70" s="13">
        <v>0</v>
      </c>
      <c r="JK70" s="13">
        <v>0</v>
      </c>
      <c r="JL70" s="13">
        <v>0</v>
      </c>
      <c r="JM70" s="13">
        <v>0</v>
      </c>
      <c r="JN70" s="13">
        <v>0</v>
      </c>
      <c r="JO70" s="13">
        <v>0</v>
      </c>
      <c r="JP70" s="13">
        <v>0</v>
      </c>
      <c r="JQ70" s="13">
        <v>0</v>
      </c>
      <c r="JR70" s="13">
        <v>0</v>
      </c>
      <c r="JS70" s="13">
        <v>0</v>
      </c>
      <c r="JT70" s="13">
        <v>0</v>
      </c>
      <c r="JU70" s="13">
        <v>0</v>
      </c>
      <c r="JV70" s="13">
        <v>0</v>
      </c>
      <c r="JW70" s="13">
        <v>0</v>
      </c>
      <c r="JX70" s="13">
        <v>0</v>
      </c>
      <c r="JY70" s="13">
        <v>0</v>
      </c>
      <c r="JZ70" s="13">
        <v>0</v>
      </c>
      <c r="KA70" s="13">
        <v>0</v>
      </c>
      <c r="KB70" s="13">
        <v>0</v>
      </c>
      <c r="KC70" s="13">
        <v>0</v>
      </c>
      <c r="KD70" s="13">
        <v>0</v>
      </c>
      <c r="KE70" s="13">
        <v>0</v>
      </c>
      <c r="KF70" s="13">
        <v>0</v>
      </c>
      <c r="KG70" s="13">
        <v>0</v>
      </c>
      <c r="KH70" s="13">
        <v>0</v>
      </c>
      <c r="KI70" s="13">
        <v>0</v>
      </c>
      <c r="KJ70" s="13">
        <v>0</v>
      </c>
      <c r="KK70" s="13">
        <v>0</v>
      </c>
      <c r="KL70" s="13">
        <v>0</v>
      </c>
      <c r="KM70" s="13">
        <v>0</v>
      </c>
      <c r="KN70" s="13">
        <v>0</v>
      </c>
      <c r="KO70" s="13">
        <v>0</v>
      </c>
      <c r="KP70" s="13">
        <v>0</v>
      </c>
      <c r="KQ70" s="13">
        <v>0</v>
      </c>
      <c r="KR70" s="13">
        <v>0</v>
      </c>
      <c r="KS70" s="13">
        <v>0</v>
      </c>
      <c r="KT70" s="13">
        <v>0</v>
      </c>
      <c r="KU70" s="13">
        <v>0</v>
      </c>
      <c r="KV70" s="13">
        <v>0</v>
      </c>
      <c r="KW70" s="13">
        <v>0</v>
      </c>
      <c r="KX70" s="13">
        <v>0</v>
      </c>
      <c r="KY70" s="13">
        <v>0</v>
      </c>
      <c r="KZ70" s="13">
        <v>0</v>
      </c>
      <c r="LA70" s="13">
        <v>0</v>
      </c>
      <c r="LB70" s="13">
        <v>2</v>
      </c>
      <c r="LC70" s="13">
        <v>0</v>
      </c>
      <c r="LD70" s="13">
        <v>2</v>
      </c>
      <c r="LE70" s="13">
        <v>1</v>
      </c>
      <c r="LF70" s="13">
        <v>2</v>
      </c>
      <c r="LG70" s="13">
        <v>1</v>
      </c>
      <c r="LH70" s="13">
        <v>0</v>
      </c>
      <c r="LI70" s="13">
        <v>1</v>
      </c>
      <c r="LJ70" s="13">
        <v>3</v>
      </c>
      <c r="LK70" s="13">
        <v>4</v>
      </c>
      <c r="LL70" s="13">
        <v>4</v>
      </c>
      <c r="LM70" s="13">
        <v>6</v>
      </c>
      <c r="LN70" s="13">
        <v>5</v>
      </c>
      <c r="LO70" s="13">
        <v>1</v>
      </c>
      <c r="LP70" s="13">
        <v>4</v>
      </c>
      <c r="LQ70" s="13">
        <v>5</v>
      </c>
      <c r="LR70" s="13">
        <v>3</v>
      </c>
      <c r="LS70" s="13">
        <v>4</v>
      </c>
      <c r="LT70" s="13">
        <v>5</v>
      </c>
      <c r="LU70" s="13">
        <v>2</v>
      </c>
      <c r="LV70" s="13">
        <v>7</v>
      </c>
      <c r="LW70" s="13">
        <v>9</v>
      </c>
      <c r="LX70" s="13">
        <v>4</v>
      </c>
      <c r="LY70" s="13">
        <v>6</v>
      </c>
      <c r="LZ70" s="13">
        <v>2</v>
      </c>
      <c r="MA70" s="13">
        <v>8</v>
      </c>
      <c r="MB70" s="13">
        <v>10</v>
      </c>
      <c r="MC70" s="13">
        <v>11</v>
      </c>
      <c r="MD70" s="13">
        <v>13</v>
      </c>
      <c r="ME70" s="13">
        <v>10</v>
      </c>
      <c r="MF70" s="13">
        <v>10</v>
      </c>
      <c r="MG70" s="13">
        <v>6</v>
      </c>
      <c r="MH70" s="13">
        <v>7</v>
      </c>
      <c r="MI70" s="13">
        <v>19</v>
      </c>
      <c r="MJ70" s="13">
        <v>16</v>
      </c>
      <c r="MK70" s="13">
        <v>18</v>
      </c>
      <c r="ML70" s="13">
        <v>21</v>
      </c>
      <c r="MM70" s="13">
        <v>21</v>
      </c>
      <c r="MN70" s="13">
        <v>23</v>
      </c>
      <c r="MO70" s="13">
        <v>23</v>
      </c>
      <c r="MP70" s="13">
        <v>31</v>
      </c>
      <c r="MQ70" s="13">
        <v>24</v>
      </c>
      <c r="MR70" s="13">
        <v>32</v>
      </c>
      <c r="MS70" s="13">
        <v>26</v>
      </c>
      <c r="MT70" s="13">
        <v>37</v>
      </c>
      <c r="MU70" s="13">
        <v>28</v>
      </c>
      <c r="MV70" s="13">
        <v>19</v>
      </c>
      <c r="MW70" s="13">
        <v>42</v>
      </c>
      <c r="MX70" s="13">
        <v>56</v>
      </c>
      <c r="MY70" s="13">
        <v>131</v>
      </c>
      <c r="MZ70" s="13">
        <v>82</v>
      </c>
      <c r="NA70" s="13">
        <v>90</v>
      </c>
      <c r="NB70" s="13">
        <v>99</v>
      </c>
      <c r="NC70" s="13">
        <v>88</v>
      </c>
      <c r="ND70" s="13">
        <v>116</v>
      </c>
      <c r="NE70" s="13">
        <v>72</v>
      </c>
      <c r="NF70" s="13">
        <v>76</v>
      </c>
      <c r="NG70" s="13">
        <v>110</v>
      </c>
      <c r="NH70" s="13">
        <v>107</v>
      </c>
      <c r="NI70" s="13">
        <v>88</v>
      </c>
      <c r="NJ70" s="13">
        <v>216</v>
      </c>
    </row>
    <row r="71" spans="1:397">
      <c r="A71" s="13" t="s">
        <v>63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>
        <v>0</v>
      </c>
      <c r="IL71" s="13">
        <v>0</v>
      </c>
      <c r="IM71" s="13">
        <v>0</v>
      </c>
      <c r="IN71" s="13">
        <v>0</v>
      </c>
      <c r="IO71" s="13">
        <v>0</v>
      </c>
      <c r="IP71" s="13">
        <v>0</v>
      </c>
      <c r="IQ71" s="13">
        <v>0</v>
      </c>
      <c r="IR71" s="13">
        <v>0</v>
      </c>
      <c r="IS71" s="13">
        <v>0</v>
      </c>
      <c r="IT71" s="13">
        <v>0</v>
      </c>
      <c r="IU71" s="13">
        <v>0</v>
      </c>
      <c r="IV71" s="13">
        <v>0</v>
      </c>
      <c r="IW71" s="13">
        <v>0</v>
      </c>
      <c r="IX71" s="13">
        <v>0</v>
      </c>
      <c r="IY71" s="13">
        <v>0</v>
      </c>
      <c r="IZ71" s="13">
        <v>0</v>
      </c>
      <c r="JA71" s="13">
        <v>0</v>
      </c>
      <c r="JB71" s="13">
        <v>3</v>
      </c>
      <c r="JC71" s="13">
        <v>3</v>
      </c>
      <c r="JD71" s="13">
        <v>3</v>
      </c>
      <c r="JE71" s="13">
        <v>3</v>
      </c>
      <c r="JF71" s="13">
        <v>4</v>
      </c>
      <c r="JG71" s="13">
        <v>5</v>
      </c>
      <c r="JH71" s="13">
        <v>5</v>
      </c>
      <c r="JI71" s="13">
        <v>5</v>
      </c>
      <c r="JJ71" s="13">
        <v>5</v>
      </c>
      <c r="JK71" s="13">
        <v>6</v>
      </c>
      <c r="JL71" s="13">
        <v>6</v>
      </c>
      <c r="JM71" s="13">
        <v>7</v>
      </c>
      <c r="JN71" s="13">
        <v>7</v>
      </c>
      <c r="JO71" s="13">
        <v>7</v>
      </c>
      <c r="JP71" s="13">
        <v>7</v>
      </c>
      <c r="JQ71" s="13">
        <v>7</v>
      </c>
      <c r="JR71" s="13">
        <v>7</v>
      </c>
      <c r="JS71" s="13">
        <v>6</v>
      </c>
      <c r="JT71" s="13">
        <v>6</v>
      </c>
      <c r="JU71" s="13">
        <v>6</v>
      </c>
      <c r="JV71" s="13">
        <v>6</v>
      </c>
      <c r="JW71" s="13">
        <v>6</v>
      </c>
      <c r="JX71" s="13">
        <v>6</v>
      </c>
      <c r="JY71" s="13">
        <v>6</v>
      </c>
      <c r="JZ71" s="13">
        <v>6</v>
      </c>
      <c r="KA71" s="13">
        <v>1</v>
      </c>
      <c r="KB71" s="13">
        <v>0</v>
      </c>
      <c r="KC71" s="13">
        <v>0</v>
      </c>
      <c r="KD71" s="13">
        <v>0</v>
      </c>
      <c r="KE71" s="13">
        <v>0</v>
      </c>
      <c r="KF71" s="13">
        <v>0</v>
      </c>
      <c r="KG71" s="13">
        <v>0</v>
      </c>
      <c r="KH71" s="13">
        <v>0</v>
      </c>
      <c r="KI71" s="13">
        <v>0</v>
      </c>
      <c r="KJ71" s="13">
        <v>0</v>
      </c>
      <c r="KK71" s="13">
        <v>0</v>
      </c>
      <c r="KL71" s="13">
        <v>0</v>
      </c>
      <c r="KM71" s="13">
        <v>0</v>
      </c>
      <c r="KN71" s="13">
        <v>0</v>
      </c>
      <c r="KO71" s="13">
        <v>12</v>
      </c>
      <c r="KP71" s="13">
        <v>23</v>
      </c>
      <c r="KQ71" s="13">
        <v>47</v>
      </c>
      <c r="KR71" s="13">
        <v>69</v>
      </c>
      <c r="KS71" s="13">
        <v>97</v>
      </c>
      <c r="KT71" s="13">
        <v>102</v>
      </c>
      <c r="KU71" s="13">
        <v>105</v>
      </c>
      <c r="KV71" s="13">
        <v>109</v>
      </c>
      <c r="KW71" s="13">
        <v>122</v>
      </c>
      <c r="KX71" s="13">
        <v>129</v>
      </c>
      <c r="KY71" s="13">
        <v>146</v>
      </c>
      <c r="KZ71" s="13">
        <v>179</v>
      </c>
      <c r="LA71" s="13">
        <v>218</v>
      </c>
      <c r="LB71" s="13">
        <v>244</v>
      </c>
      <c r="LC71" s="13">
        <v>302</v>
      </c>
      <c r="LD71" s="13">
        <v>319</v>
      </c>
      <c r="LE71" s="13">
        <v>348</v>
      </c>
      <c r="LF71" s="13">
        <v>398</v>
      </c>
      <c r="LG71" s="13">
        <v>445</v>
      </c>
      <c r="LH71" s="13">
        <v>515</v>
      </c>
      <c r="LI71" s="13">
        <v>574</v>
      </c>
      <c r="LJ71" s="13">
        <v>644</v>
      </c>
      <c r="LK71" s="13">
        <v>830</v>
      </c>
      <c r="LL71" s="13">
        <v>983</v>
      </c>
      <c r="LM71" s="13">
        <v>1128</v>
      </c>
      <c r="LN71" s="13">
        <v>1279</v>
      </c>
      <c r="LO71" s="13">
        <v>1456</v>
      </c>
      <c r="LP71" s="13">
        <v>1726</v>
      </c>
      <c r="LQ71" s="13">
        <v>2045</v>
      </c>
      <c r="LR71" s="13">
        <v>2517</v>
      </c>
      <c r="LS71" s="13">
        <v>2880</v>
      </c>
      <c r="LT71" s="13">
        <v>3407</v>
      </c>
      <c r="LU71" s="13">
        <v>3794</v>
      </c>
      <c r="LV71" s="13">
        <v>4268</v>
      </c>
      <c r="LW71" s="13">
        <v>4700</v>
      </c>
      <c r="LX71" s="13">
        <v>5143</v>
      </c>
      <c r="LY71" s="13">
        <v>5610</v>
      </c>
      <c r="LZ71" s="13">
        <v>6118</v>
      </c>
      <c r="MA71" s="13">
        <v>6744</v>
      </c>
      <c r="MB71" s="13">
        <v>7483</v>
      </c>
      <c r="MC71" s="13">
        <v>8304</v>
      </c>
      <c r="MD71" s="13">
        <v>9150</v>
      </c>
      <c r="ME71" s="13">
        <v>9911</v>
      </c>
      <c r="MF71" s="13">
        <v>11098</v>
      </c>
      <c r="MG71" s="13">
        <v>12358</v>
      </c>
      <c r="MH71" s="13">
        <v>13462</v>
      </c>
      <c r="MI71" s="13">
        <v>14514</v>
      </c>
      <c r="MJ71" s="13">
        <v>15732</v>
      </c>
      <c r="MK71" s="13">
        <v>16627</v>
      </c>
      <c r="ML71" s="13">
        <v>17772</v>
      </c>
      <c r="MM71" s="13">
        <v>19011</v>
      </c>
      <c r="MN71" s="13">
        <v>20115</v>
      </c>
      <c r="MO71" s="13">
        <v>21050</v>
      </c>
      <c r="MP71" s="13">
        <v>22368</v>
      </c>
      <c r="MQ71" s="13">
        <v>24144</v>
      </c>
      <c r="MR71" s="13">
        <v>25903</v>
      </c>
      <c r="MS71" s="13">
        <v>27700</v>
      </c>
      <c r="MT71" s="13">
        <v>28836</v>
      </c>
      <c r="MU71" s="13">
        <v>30179</v>
      </c>
      <c r="MV71" s="13">
        <v>32392</v>
      </c>
      <c r="MW71" s="13">
        <v>33563</v>
      </c>
      <c r="MX71" s="13">
        <v>34691</v>
      </c>
      <c r="MY71" s="13">
        <v>35674</v>
      </c>
      <c r="MZ71" s="13">
        <v>36174</v>
      </c>
      <c r="NA71" s="13">
        <v>36680</v>
      </c>
      <c r="NB71" s="13">
        <v>37448</v>
      </c>
      <c r="NC71" s="13">
        <v>37994</v>
      </c>
      <c r="ND71" s="13">
        <v>38020</v>
      </c>
      <c r="NE71" s="13">
        <v>37152</v>
      </c>
      <c r="NF71" s="13">
        <v>36385</v>
      </c>
      <c r="NG71" s="13">
        <v>35314</v>
      </c>
      <c r="NH71" s="13">
        <v>34289</v>
      </c>
      <c r="NI71" s="13">
        <v>32959</v>
      </c>
      <c r="NJ71" s="13">
        <v>30043</v>
      </c>
    </row>
    <row r="72" spans="1:397">
      <c r="A72" s="13" t="s">
        <v>64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>
        <v>0</v>
      </c>
      <c r="IL72" s="13">
        <v>0</v>
      </c>
      <c r="IM72" s="13">
        <v>0</v>
      </c>
      <c r="IN72" s="13">
        <v>0</v>
      </c>
      <c r="IO72" s="13">
        <v>0</v>
      </c>
      <c r="IP72" s="13">
        <v>0</v>
      </c>
      <c r="IQ72" s="13">
        <v>0</v>
      </c>
      <c r="IR72" s="13">
        <v>0</v>
      </c>
      <c r="IS72" s="13">
        <v>0</v>
      </c>
      <c r="IT72" s="13">
        <v>0</v>
      </c>
      <c r="IU72" s="13">
        <v>0</v>
      </c>
      <c r="IV72" s="13">
        <v>0</v>
      </c>
      <c r="IW72" s="13">
        <v>0</v>
      </c>
      <c r="IX72" s="13">
        <v>0</v>
      </c>
      <c r="IY72" s="13">
        <v>0</v>
      </c>
      <c r="IZ72" s="13">
        <v>0</v>
      </c>
      <c r="JA72" s="13">
        <v>0</v>
      </c>
      <c r="JB72" s="13">
        <v>1</v>
      </c>
      <c r="JC72" s="13">
        <v>1</v>
      </c>
      <c r="JD72" s="13">
        <v>1</v>
      </c>
      <c r="JE72" s="13">
        <v>1</v>
      </c>
      <c r="JF72" s="13">
        <v>1</v>
      </c>
      <c r="JG72" s="13">
        <v>2</v>
      </c>
      <c r="JH72" s="13">
        <v>2</v>
      </c>
      <c r="JI72" s="13">
        <v>2</v>
      </c>
      <c r="JJ72" s="13">
        <v>2</v>
      </c>
      <c r="JK72" s="13">
        <v>2</v>
      </c>
      <c r="JL72" s="13">
        <v>2</v>
      </c>
      <c r="JM72" s="13">
        <v>2</v>
      </c>
      <c r="JN72" s="13">
        <v>2</v>
      </c>
      <c r="JO72" s="13">
        <v>2</v>
      </c>
      <c r="JP72" s="13">
        <v>2</v>
      </c>
      <c r="JQ72" s="13">
        <v>2</v>
      </c>
      <c r="JR72" s="13">
        <v>2</v>
      </c>
      <c r="JS72" s="13">
        <v>2</v>
      </c>
      <c r="JT72" s="13">
        <v>2</v>
      </c>
      <c r="JU72" s="13">
        <v>2</v>
      </c>
      <c r="JV72" s="13">
        <v>2</v>
      </c>
      <c r="JW72" s="13">
        <v>2</v>
      </c>
      <c r="JX72" s="13">
        <v>2</v>
      </c>
      <c r="JY72" s="13">
        <v>2</v>
      </c>
      <c r="JZ72" s="13">
        <v>1</v>
      </c>
      <c r="KA72" s="13">
        <v>0</v>
      </c>
      <c r="KB72" s="13">
        <v>0</v>
      </c>
      <c r="KC72" s="13">
        <v>0</v>
      </c>
      <c r="KD72" s="13">
        <v>0</v>
      </c>
      <c r="KE72" s="13">
        <v>0</v>
      </c>
      <c r="KF72" s="13">
        <v>0</v>
      </c>
      <c r="KG72" s="13">
        <v>0</v>
      </c>
      <c r="KH72" s="13">
        <v>0</v>
      </c>
      <c r="KI72" s="13">
        <v>0</v>
      </c>
      <c r="KJ72" s="13">
        <v>0</v>
      </c>
      <c r="KK72" s="13">
        <v>0</v>
      </c>
      <c r="KL72" s="13">
        <v>0</v>
      </c>
      <c r="KM72" s="13">
        <v>0</v>
      </c>
      <c r="KN72" s="13">
        <v>0</v>
      </c>
      <c r="KO72" s="13">
        <v>0</v>
      </c>
      <c r="KP72" s="13">
        <v>0</v>
      </c>
      <c r="KQ72" s="13">
        <v>1</v>
      </c>
      <c r="KR72" s="13">
        <v>2</v>
      </c>
      <c r="KS72" s="13">
        <v>15</v>
      </c>
      <c r="KT72" s="13">
        <v>19</v>
      </c>
      <c r="KU72" s="13">
        <v>20</v>
      </c>
      <c r="KV72" s="13">
        <v>22</v>
      </c>
      <c r="KW72" s="13">
        <v>27</v>
      </c>
      <c r="KX72" s="13">
        <v>32</v>
      </c>
      <c r="KY72" s="13">
        <v>38</v>
      </c>
      <c r="KZ72" s="13">
        <v>57</v>
      </c>
      <c r="LA72" s="13">
        <v>68</v>
      </c>
      <c r="LB72" s="13">
        <v>74</v>
      </c>
      <c r="LC72" s="13">
        <v>92</v>
      </c>
      <c r="LD72" s="13">
        <v>94</v>
      </c>
      <c r="LE72" s="13">
        <v>101</v>
      </c>
      <c r="LF72" s="13">
        <v>135</v>
      </c>
      <c r="LG72" s="13">
        <v>155</v>
      </c>
      <c r="LH72" s="13">
        <v>181</v>
      </c>
      <c r="LI72" s="13">
        <v>231</v>
      </c>
      <c r="LJ72" s="13">
        <v>264</v>
      </c>
      <c r="LK72" s="13">
        <v>300</v>
      </c>
      <c r="LL72" s="13">
        <v>346</v>
      </c>
      <c r="LM72" s="13">
        <v>397</v>
      </c>
      <c r="LN72" s="13">
        <v>432</v>
      </c>
      <c r="LO72" s="13">
        <v>493</v>
      </c>
      <c r="LP72" s="13">
        <v>597</v>
      </c>
      <c r="LQ72" s="13">
        <v>706</v>
      </c>
      <c r="LR72" s="13">
        <v>882</v>
      </c>
      <c r="LS72" s="13">
        <v>995</v>
      </c>
      <c r="LT72" s="13">
        <v>1195</v>
      </c>
      <c r="LU72" s="13">
        <v>1358</v>
      </c>
      <c r="LV72" s="13">
        <v>1527</v>
      </c>
      <c r="LW72" s="13">
        <v>1699</v>
      </c>
      <c r="LX72" s="13">
        <v>1794</v>
      </c>
      <c r="LY72" s="13">
        <v>1901</v>
      </c>
      <c r="LZ72" s="13">
        <v>2062</v>
      </c>
      <c r="MA72" s="13">
        <v>2222</v>
      </c>
      <c r="MB72" s="13">
        <v>2514</v>
      </c>
      <c r="MC72" s="13">
        <v>2695</v>
      </c>
      <c r="MD72" s="13">
        <v>2878</v>
      </c>
      <c r="ME72" s="13">
        <v>3058</v>
      </c>
      <c r="MF72" s="13">
        <v>3410</v>
      </c>
      <c r="MG72" s="13">
        <v>3793</v>
      </c>
      <c r="MH72" s="13">
        <v>4003</v>
      </c>
      <c r="MI72" s="13">
        <v>4217</v>
      </c>
      <c r="MJ72" s="13">
        <v>4471</v>
      </c>
      <c r="MK72" s="13">
        <v>4735</v>
      </c>
      <c r="ML72" s="13">
        <v>4850</v>
      </c>
      <c r="MM72" s="13">
        <v>5028</v>
      </c>
      <c r="MN72" s="13">
        <v>5208</v>
      </c>
      <c r="MO72" s="13">
        <v>5342</v>
      </c>
      <c r="MP72" s="13">
        <v>5723</v>
      </c>
      <c r="MQ72" s="13">
        <v>6020</v>
      </c>
      <c r="MR72" s="13">
        <v>6225</v>
      </c>
      <c r="MS72" s="13">
        <v>6393</v>
      </c>
      <c r="MT72" s="13">
        <v>6585</v>
      </c>
      <c r="MU72" s="13">
        <v>6775</v>
      </c>
      <c r="MV72" s="13">
        <v>7049</v>
      </c>
      <c r="MW72" s="13">
        <v>7355</v>
      </c>
      <c r="MX72" s="13">
        <v>7647</v>
      </c>
      <c r="MY72" s="13">
        <v>8329</v>
      </c>
      <c r="MZ72" s="13">
        <v>9228</v>
      </c>
      <c r="NA72" s="13">
        <v>9555</v>
      </c>
      <c r="NB72" s="13">
        <v>9628</v>
      </c>
      <c r="NC72" s="13">
        <v>9689</v>
      </c>
      <c r="ND72" s="13">
        <v>9562</v>
      </c>
      <c r="NE72" s="13">
        <v>9222</v>
      </c>
      <c r="NF72" s="13">
        <v>8056</v>
      </c>
      <c r="NG72" s="13">
        <v>8530</v>
      </c>
      <c r="NH72" s="13">
        <v>8335</v>
      </c>
      <c r="NI72" s="13">
        <v>7492</v>
      </c>
      <c r="NJ72" s="13">
        <v>5426</v>
      </c>
    </row>
    <row r="73" spans="1:397">
      <c r="A73" s="13" t="s">
        <v>46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>
        <v>46471</v>
      </c>
      <c r="IL73" s="13">
        <v>46471</v>
      </c>
      <c r="IM73" s="13">
        <v>46471</v>
      </c>
      <c r="IN73" s="13">
        <v>46471</v>
      </c>
      <c r="IO73" s="13">
        <v>46471</v>
      </c>
      <c r="IP73" s="13">
        <v>46471</v>
      </c>
      <c r="IQ73" s="13">
        <v>46471</v>
      </c>
      <c r="IR73" s="13">
        <v>46471</v>
      </c>
      <c r="IS73" s="13">
        <v>46471</v>
      </c>
      <c r="IT73" s="13">
        <v>46471</v>
      </c>
      <c r="IU73" s="13">
        <v>46471</v>
      </c>
      <c r="IV73" s="13">
        <v>46471</v>
      </c>
      <c r="IW73" s="13">
        <v>46471</v>
      </c>
      <c r="IX73" s="13">
        <v>46471</v>
      </c>
      <c r="IY73" s="13">
        <v>46471</v>
      </c>
      <c r="IZ73" s="13">
        <v>46471</v>
      </c>
      <c r="JA73" s="13">
        <v>46471</v>
      </c>
      <c r="JB73" s="13">
        <v>46468</v>
      </c>
      <c r="JC73" s="13">
        <v>46468</v>
      </c>
      <c r="JD73" s="13">
        <v>46468</v>
      </c>
      <c r="JE73" s="13">
        <v>46466</v>
      </c>
      <c r="JF73" s="13">
        <v>46467</v>
      </c>
      <c r="JG73" s="13">
        <v>46466</v>
      </c>
      <c r="JH73" s="13">
        <v>46466</v>
      </c>
      <c r="JI73" s="13">
        <v>46466</v>
      </c>
      <c r="JJ73" s="13">
        <v>46466</v>
      </c>
      <c r="JK73" s="13">
        <v>46465</v>
      </c>
      <c r="JL73" s="13">
        <v>46465</v>
      </c>
      <c r="JM73" s="13">
        <v>46464</v>
      </c>
      <c r="JN73" s="13">
        <v>46464</v>
      </c>
      <c r="JO73" s="13">
        <v>46464</v>
      </c>
      <c r="JP73" s="13">
        <v>46464</v>
      </c>
      <c r="JQ73" s="13">
        <v>46464</v>
      </c>
      <c r="JR73" s="13">
        <v>46464</v>
      </c>
      <c r="JS73" s="13">
        <v>46464</v>
      </c>
      <c r="JT73" s="13">
        <v>46464</v>
      </c>
      <c r="JU73" s="13">
        <v>46464</v>
      </c>
      <c r="JV73" s="13">
        <v>46464</v>
      </c>
      <c r="JW73" s="13">
        <v>46464</v>
      </c>
      <c r="JX73" s="13">
        <v>46464</v>
      </c>
      <c r="JY73" s="13">
        <v>46464</v>
      </c>
      <c r="JZ73" s="13">
        <v>46464</v>
      </c>
      <c r="KA73" s="13">
        <v>46464</v>
      </c>
      <c r="KB73" s="13">
        <v>46464</v>
      </c>
      <c r="KC73" s="13">
        <v>46464</v>
      </c>
      <c r="KD73" s="13">
        <v>46464</v>
      </c>
      <c r="KE73" s="13">
        <v>46464</v>
      </c>
      <c r="KF73" s="13">
        <v>46464</v>
      </c>
      <c r="KG73" s="13">
        <v>46464</v>
      </c>
      <c r="KH73" s="13">
        <v>46464</v>
      </c>
      <c r="KI73" s="13">
        <v>46464</v>
      </c>
      <c r="KJ73" s="13">
        <v>46464</v>
      </c>
      <c r="KK73" s="13">
        <v>46464</v>
      </c>
      <c r="KL73" s="13">
        <v>46464</v>
      </c>
      <c r="KM73" s="13">
        <v>46464</v>
      </c>
      <c r="KN73" s="13">
        <v>46464</v>
      </c>
      <c r="KO73" s="13">
        <v>46452</v>
      </c>
      <c r="KP73" s="13">
        <v>46441</v>
      </c>
      <c r="KQ73" s="13">
        <v>46417</v>
      </c>
      <c r="KR73" s="13">
        <v>46395</v>
      </c>
      <c r="KS73" s="13">
        <v>46367</v>
      </c>
      <c r="KT73" s="13">
        <v>46362</v>
      </c>
      <c r="KU73" s="13">
        <v>46359</v>
      </c>
      <c r="KV73" s="13">
        <v>46355</v>
      </c>
      <c r="KW73" s="13">
        <v>46342</v>
      </c>
      <c r="KX73" s="13">
        <v>46335</v>
      </c>
      <c r="KY73" s="13">
        <v>47283</v>
      </c>
      <c r="KZ73" s="13">
        <v>47250</v>
      </c>
      <c r="LA73" s="13">
        <v>47211</v>
      </c>
      <c r="LB73" s="13">
        <v>47186</v>
      </c>
      <c r="LC73" s="13">
        <v>47129</v>
      </c>
      <c r="LD73" s="13">
        <v>47112</v>
      </c>
      <c r="LE73" s="13">
        <v>47085</v>
      </c>
      <c r="LF73" s="13">
        <v>47036</v>
      </c>
      <c r="LG73" s="13">
        <v>46991</v>
      </c>
      <c r="LH73" s="13">
        <v>46922</v>
      </c>
      <c r="LI73" s="13">
        <v>46863</v>
      </c>
      <c r="LJ73" s="13">
        <v>46794</v>
      </c>
      <c r="LK73" s="13">
        <v>46611</v>
      </c>
      <c r="LL73" s="13">
        <v>46461</v>
      </c>
      <c r="LM73" s="13">
        <v>46320</v>
      </c>
      <c r="LN73" s="13">
        <v>46175</v>
      </c>
      <c r="LO73" s="13">
        <v>46002</v>
      </c>
      <c r="LP73" s="13">
        <v>45733</v>
      </c>
      <c r="LQ73" s="13">
        <v>45418</v>
      </c>
      <c r="LR73" s="13">
        <v>44951</v>
      </c>
      <c r="LS73" s="13">
        <v>44591</v>
      </c>
      <c r="LT73" s="13">
        <v>44068</v>
      </c>
      <c r="LU73" s="13">
        <v>43686</v>
      </c>
      <c r="LV73" s="13">
        <v>43214</v>
      </c>
      <c r="LW73" s="13">
        <v>42788</v>
      </c>
      <c r="LX73" s="13">
        <v>42354</v>
      </c>
      <c r="LY73" s="13">
        <v>41891</v>
      </c>
      <c r="LZ73" s="13">
        <v>41389</v>
      </c>
      <c r="MA73" s="13">
        <v>40765</v>
      </c>
      <c r="MB73" s="13">
        <v>40032</v>
      </c>
      <c r="MC73" s="13">
        <v>39220</v>
      </c>
      <c r="MD73" s="13">
        <v>38384</v>
      </c>
      <c r="ME73" s="13">
        <v>37632</v>
      </c>
      <c r="MF73" s="13">
        <v>36451</v>
      </c>
      <c r="MG73" s="13">
        <v>35197</v>
      </c>
      <c r="MH73" s="13">
        <v>34094</v>
      </c>
      <c r="MI73" s="13">
        <v>33041</v>
      </c>
      <c r="MJ73" s="13">
        <v>31829</v>
      </c>
      <c r="MK73" s="13">
        <v>30933</v>
      </c>
      <c r="ML73" s="13">
        <v>29770</v>
      </c>
      <c r="MM73" s="13">
        <v>28511</v>
      </c>
      <c r="MN73" s="13">
        <v>27354</v>
      </c>
      <c r="MO73" s="13">
        <v>26316</v>
      </c>
      <c r="MP73" s="13">
        <v>24890</v>
      </c>
      <c r="MQ73" s="13">
        <v>23031</v>
      </c>
      <c r="MR73" s="13">
        <v>21185</v>
      </c>
      <c r="MS73" s="13">
        <v>19227</v>
      </c>
      <c r="MT73" s="13">
        <v>17552</v>
      </c>
      <c r="MU73" s="13">
        <v>15826</v>
      </c>
      <c r="MV73" s="13">
        <v>13328</v>
      </c>
      <c r="MW73" s="13">
        <v>11793</v>
      </c>
      <c r="MX73" s="13">
        <v>10337</v>
      </c>
      <c r="MY73" s="13">
        <v>8946</v>
      </c>
      <c r="MZ73" s="13">
        <v>8171</v>
      </c>
      <c r="NA73" s="13">
        <v>7206</v>
      </c>
      <c r="NB73" s="13">
        <v>6214</v>
      </c>
      <c r="NC73" s="13">
        <v>5448</v>
      </c>
      <c r="ND73" s="13">
        <v>4895</v>
      </c>
      <c r="NE73" s="13">
        <v>4219</v>
      </c>
      <c r="NF73" s="13">
        <v>3458</v>
      </c>
      <c r="NG73" s="13">
        <v>2915</v>
      </c>
      <c r="NH73" s="13">
        <v>2502</v>
      </c>
      <c r="NI73" s="13">
        <v>2016</v>
      </c>
      <c r="NJ73" s="13">
        <v>1915</v>
      </c>
    </row>
    <row r="74" spans="1:397">
      <c r="A74" s="13" t="s">
        <v>65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>
        <v>3869</v>
      </c>
      <c r="IL74" s="13">
        <v>3869</v>
      </c>
      <c r="IM74" s="13">
        <v>3869</v>
      </c>
      <c r="IN74" s="13">
        <v>3869</v>
      </c>
      <c r="IO74" s="13">
        <v>3869</v>
      </c>
      <c r="IP74" s="13">
        <v>3869</v>
      </c>
      <c r="IQ74" s="13">
        <v>3869</v>
      </c>
      <c r="IR74" s="13">
        <v>3869</v>
      </c>
      <c r="IS74" s="13">
        <v>3869</v>
      </c>
      <c r="IT74" s="13">
        <v>3869</v>
      </c>
      <c r="IU74" s="13">
        <v>3869</v>
      </c>
      <c r="IV74" s="13">
        <v>3869</v>
      </c>
      <c r="IW74" s="13">
        <v>3869</v>
      </c>
      <c r="IX74" s="13">
        <v>3869</v>
      </c>
      <c r="IY74" s="13">
        <v>3869</v>
      </c>
      <c r="IZ74" s="13">
        <v>3869</v>
      </c>
      <c r="JA74" s="13">
        <v>3869</v>
      </c>
      <c r="JB74" s="13">
        <v>3869</v>
      </c>
      <c r="JC74" s="13">
        <v>3869</v>
      </c>
      <c r="JD74" s="13">
        <v>3869</v>
      </c>
      <c r="JE74" s="13">
        <v>3869</v>
      </c>
      <c r="JF74" s="13">
        <v>3869</v>
      </c>
      <c r="JG74" s="13">
        <v>3869</v>
      </c>
      <c r="JH74" s="13">
        <v>3869</v>
      </c>
      <c r="JI74" s="13">
        <v>3869</v>
      </c>
      <c r="JJ74" s="13">
        <v>3869</v>
      </c>
      <c r="JK74" s="13">
        <v>3869</v>
      </c>
      <c r="JL74" s="13">
        <v>3869</v>
      </c>
      <c r="JM74" s="13">
        <v>3869</v>
      </c>
      <c r="JN74" s="13">
        <v>3869</v>
      </c>
      <c r="JO74" s="13">
        <v>3869</v>
      </c>
      <c r="JP74" s="13">
        <v>3869</v>
      </c>
      <c r="JQ74" s="13">
        <v>3869</v>
      </c>
      <c r="JR74" s="13">
        <v>3869</v>
      </c>
      <c r="JS74" s="13">
        <v>3869</v>
      </c>
      <c r="JT74" s="13">
        <v>3869</v>
      </c>
      <c r="JU74" s="13">
        <v>3869</v>
      </c>
      <c r="JV74" s="13">
        <v>3869</v>
      </c>
      <c r="JW74" s="13">
        <v>3869</v>
      </c>
      <c r="JX74" s="13">
        <v>3869</v>
      </c>
      <c r="JY74" s="13">
        <v>3869</v>
      </c>
      <c r="JZ74" s="13">
        <v>3869</v>
      </c>
      <c r="KA74" s="13">
        <v>3869</v>
      </c>
      <c r="KB74" s="13">
        <v>3869</v>
      </c>
      <c r="KC74" s="13">
        <v>3869</v>
      </c>
      <c r="KD74" s="13">
        <v>3869</v>
      </c>
      <c r="KE74" s="13">
        <v>3869</v>
      </c>
      <c r="KF74" s="13">
        <v>3869</v>
      </c>
      <c r="KG74" s="13">
        <v>3869</v>
      </c>
      <c r="KH74" s="13">
        <v>3869</v>
      </c>
      <c r="KI74" s="13">
        <v>3869</v>
      </c>
      <c r="KJ74" s="13">
        <v>3869</v>
      </c>
      <c r="KK74" s="13">
        <v>3869</v>
      </c>
      <c r="KL74" s="13">
        <v>3869</v>
      </c>
      <c r="KM74" s="13">
        <v>3869</v>
      </c>
      <c r="KN74" s="13">
        <v>3869</v>
      </c>
      <c r="KO74" s="13">
        <v>3869</v>
      </c>
      <c r="KP74" s="13">
        <v>3869</v>
      </c>
      <c r="KQ74" s="13">
        <v>3869</v>
      </c>
      <c r="KR74" s="13">
        <v>3869</v>
      </c>
      <c r="KS74" s="13">
        <v>3869</v>
      </c>
      <c r="KT74" s="13">
        <v>3869</v>
      </c>
      <c r="KU74" s="13">
        <v>3869</v>
      </c>
      <c r="KV74" s="13">
        <v>3869</v>
      </c>
      <c r="KW74" s="13">
        <v>3869</v>
      </c>
      <c r="KX74" s="13">
        <v>3869</v>
      </c>
      <c r="KY74" s="13">
        <v>2579</v>
      </c>
      <c r="KZ74" s="13">
        <v>2579</v>
      </c>
      <c r="LA74" s="13">
        <v>2579</v>
      </c>
      <c r="LB74" s="13">
        <v>2579</v>
      </c>
      <c r="LC74" s="13">
        <v>2577</v>
      </c>
      <c r="LD74" s="13">
        <v>2577</v>
      </c>
      <c r="LE74" s="13">
        <v>2575</v>
      </c>
      <c r="LF74" s="13">
        <v>2574</v>
      </c>
      <c r="LG74" s="13">
        <v>2572</v>
      </c>
      <c r="LH74" s="13">
        <v>2571</v>
      </c>
      <c r="LI74" s="13">
        <v>2571</v>
      </c>
      <c r="LJ74" s="13">
        <v>2570</v>
      </c>
      <c r="LK74" s="13">
        <v>2567</v>
      </c>
      <c r="LL74" s="13">
        <v>2563</v>
      </c>
      <c r="LM74" s="13">
        <v>2559</v>
      </c>
      <c r="LN74" s="13">
        <v>2553</v>
      </c>
      <c r="LO74" s="13">
        <v>2548</v>
      </c>
      <c r="LP74" s="13">
        <v>2547</v>
      </c>
      <c r="LQ74" s="13">
        <v>2543</v>
      </c>
      <c r="LR74" s="13">
        <v>2538</v>
      </c>
      <c r="LS74" s="13">
        <v>2535</v>
      </c>
      <c r="LT74" s="13">
        <v>2531</v>
      </c>
      <c r="LU74" s="13">
        <v>2526</v>
      </c>
      <c r="LV74" s="13">
        <v>2524</v>
      </c>
      <c r="LW74" s="13">
        <v>2517</v>
      </c>
      <c r="LX74" s="13">
        <v>2508</v>
      </c>
      <c r="LY74" s="13">
        <v>2504</v>
      </c>
      <c r="LZ74" s="13">
        <v>2498</v>
      </c>
      <c r="MA74" s="13">
        <v>2496</v>
      </c>
      <c r="MB74" s="13">
        <v>2490</v>
      </c>
      <c r="MC74" s="13">
        <v>2480</v>
      </c>
      <c r="MD74" s="13">
        <v>2469</v>
      </c>
      <c r="ME74" s="13">
        <v>2456</v>
      </c>
      <c r="MF74" s="13">
        <v>2446</v>
      </c>
      <c r="MG74" s="13">
        <v>2436</v>
      </c>
      <c r="MH74" s="13">
        <v>2430</v>
      </c>
      <c r="MI74" s="13">
        <v>2423</v>
      </c>
      <c r="MJ74" s="13">
        <v>2404</v>
      </c>
      <c r="MK74" s="13">
        <v>2388</v>
      </c>
      <c r="ML74" s="13">
        <v>2370</v>
      </c>
      <c r="MM74" s="13">
        <v>2349</v>
      </c>
      <c r="MN74" s="13">
        <v>2328</v>
      </c>
      <c r="MO74" s="13">
        <v>2305</v>
      </c>
      <c r="MP74" s="13">
        <v>2282</v>
      </c>
      <c r="MQ74" s="13">
        <v>2251</v>
      </c>
      <c r="MR74" s="13">
        <v>2227</v>
      </c>
      <c r="MS74" s="13">
        <v>2195</v>
      </c>
      <c r="MT74" s="13">
        <v>2169</v>
      </c>
      <c r="MU74" s="13">
        <v>2132</v>
      </c>
      <c r="MV74" s="13">
        <v>2104</v>
      </c>
      <c r="MW74" s="13">
        <v>2085</v>
      </c>
      <c r="MX74" s="13">
        <v>2043</v>
      </c>
      <c r="MY74" s="13">
        <v>1987</v>
      </c>
      <c r="MZ74" s="13">
        <v>1856</v>
      </c>
      <c r="NA74" s="13">
        <v>1774</v>
      </c>
      <c r="NB74" s="13">
        <v>1684</v>
      </c>
      <c r="NC74" s="13">
        <v>1585</v>
      </c>
      <c r="ND74" s="13">
        <v>1497</v>
      </c>
      <c r="NE74" s="13">
        <v>1381</v>
      </c>
      <c r="NF74" s="13">
        <v>1309</v>
      </c>
      <c r="NG74" s="13">
        <v>1233</v>
      </c>
      <c r="NH74" s="13">
        <v>1123</v>
      </c>
      <c r="NI74" s="13">
        <v>1016</v>
      </c>
      <c r="NJ74" s="13">
        <v>1036</v>
      </c>
    </row>
    <row r="75" spans="1:397">
      <c r="A75" s="13" t="s">
        <v>66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>
        <v>50340</v>
      </c>
      <c r="IL75" s="13">
        <v>50340</v>
      </c>
      <c r="IM75" s="13">
        <v>50340</v>
      </c>
      <c r="IN75" s="13">
        <v>50340</v>
      </c>
      <c r="IO75" s="13">
        <v>50340</v>
      </c>
      <c r="IP75" s="13">
        <v>50340</v>
      </c>
      <c r="IQ75" s="13">
        <v>50340</v>
      </c>
      <c r="IR75" s="13">
        <v>50340</v>
      </c>
      <c r="IS75" s="13">
        <v>50340</v>
      </c>
      <c r="IT75" s="13">
        <v>50340</v>
      </c>
      <c r="IU75" s="13">
        <v>50340</v>
      </c>
      <c r="IV75" s="13">
        <v>50340</v>
      </c>
      <c r="IW75" s="13">
        <v>50340</v>
      </c>
      <c r="IX75" s="13">
        <v>50340</v>
      </c>
      <c r="IY75" s="13">
        <v>50340</v>
      </c>
      <c r="IZ75" s="13">
        <v>50340</v>
      </c>
      <c r="JA75" s="13">
        <v>50340</v>
      </c>
      <c r="JB75" s="13">
        <v>50340</v>
      </c>
      <c r="JC75" s="13">
        <v>50340</v>
      </c>
      <c r="JD75" s="13">
        <v>50340</v>
      </c>
      <c r="JE75" s="13">
        <v>50340</v>
      </c>
      <c r="JF75" s="13">
        <v>50340</v>
      </c>
      <c r="JG75" s="13">
        <v>50340</v>
      </c>
      <c r="JH75" s="13">
        <v>50340</v>
      </c>
      <c r="JI75" s="13">
        <v>50340</v>
      </c>
      <c r="JJ75" s="13">
        <v>50340</v>
      </c>
      <c r="JK75" s="13">
        <v>50340</v>
      </c>
      <c r="JL75" s="13">
        <v>50340</v>
      </c>
      <c r="JM75" s="13">
        <v>50340</v>
      </c>
      <c r="JN75" s="13">
        <v>50340</v>
      </c>
      <c r="JO75" s="13">
        <v>50340</v>
      </c>
      <c r="JP75" s="13">
        <v>50340</v>
      </c>
      <c r="JQ75" s="13">
        <v>50340</v>
      </c>
      <c r="JR75" s="13">
        <v>50340</v>
      </c>
      <c r="JS75" s="13">
        <v>50339</v>
      </c>
      <c r="JT75" s="13">
        <v>50339</v>
      </c>
      <c r="JU75" s="13">
        <v>50339</v>
      </c>
      <c r="JV75" s="13">
        <v>50339</v>
      </c>
      <c r="JW75" s="13">
        <v>50339</v>
      </c>
      <c r="JX75" s="13">
        <v>50339</v>
      </c>
      <c r="JY75" s="13">
        <v>50339</v>
      </c>
      <c r="JZ75" s="13">
        <v>50339</v>
      </c>
      <c r="KA75" s="13">
        <v>50334</v>
      </c>
      <c r="KB75" s="13">
        <v>50333</v>
      </c>
      <c r="KC75" s="13">
        <v>50333</v>
      </c>
      <c r="KD75" s="13">
        <v>50333</v>
      </c>
      <c r="KE75" s="13">
        <v>50333</v>
      </c>
      <c r="KF75" s="13">
        <v>50333</v>
      </c>
      <c r="KG75" s="13">
        <v>50333</v>
      </c>
      <c r="KH75" s="13">
        <v>50333</v>
      </c>
      <c r="KI75" s="13">
        <v>50333</v>
      </c>
      <c r="KJ75" s="13">
        <v>50333</v>
      </c>
      <c r="KK75" s="13">
        <v>50333</v>
      </c>
      <c r="KL75" s="13">
        <v>50333</v>
      </c>
      <c r="KM75" s="13">
        <v>50333</v>
      </c>
      <c r="KN75" s="13">
        <v>50333</v>
      </c>
      <c r="KO75" s="13">
        <v>50333</v>
      </c>
      <c r="KP75" s="13">
        <v>50333</v>
      </c>
      <c r="KQ75" s="13">
        <v>50333</v>
      </c>
      <c r="KR75" s="13">
        <v>50333</v>
      </c>
      <c r="KS75" s="13">
        <v>50333</v>
      </c>
      <c r="KT75" s="13">
        <v>50333</v>
      </c>
      <c r="KU75" s="13">
        <v>50333</v>
      </c>
      <c r="KV75" s="13">
        <v>50333</v>
      </c>
      <c r="KW75" s="13">
        <v>50333</v>
      </c>
      <c r="KX75" s="13">
        <v>50333</v>
      </c>
      <c r="KY75" s="13">
        <v>50008</v>
      </c>
      <c r="KZ75" s="13">
        <v>50008</v>
      </c>
      <c r="LA75" s="13">
        <v>50008</v>
      </c>
      <c r="LB75" s="13">
        <v>50008</v>
      </c>
      <c r="LC75" s="13">
        <v>50008</v>
      </c>
      <c r="LD75" s="13">
        <v>50008</v>
      </c>
      <c r="LE75" s="13">
        <v>50008</v>
      </c>
      <c r="LF75" s="13">
        <v>50008</v>
      </c>
      <c r="LG75" s="13">
        <v>50008</v>
      </c>
      <c r="LH75" s="13">
        <v>50008</v>
      </c>
      <c r="LI75" s="13">
        <v>50008</v>
      </c>
      <c r="LJ75" s="13">
        <v>50008</v>
      </c>
      <c r="LK75" s="13">
        <v>50008</v>
      </c>
      <c r="LL75" s="13">
        <v>50007</v>
      </c>
      <c r="LM75" s="13">
        <v>50007</v>
      </c>
      <c r="LN75" s="13">
        <v>50007</v>
      </c>
      <c r="LO75" s="13">
        <v>50006</v>
      </c>
      <c r="LP75" s="13">
        <v>50006</v>
      </c>
      <c r="LQ75" s="13">
        <v>50006</v>
      </c>
      <c r="LR75" s="13">
        <v>50006</v>
      </c>
      <c r="LS75" s="13">
        <v>50006</v>
      </c>
      <c r="LT75" s="13">
        <v>50006</v>
      </c>
      <c r="LU75" s="13">
        <v>50006</v>
      </c>
      <c r="LV75" s="13">
        <v>50006</v>
      </c>
      <c r="LW75" s="13">
        <v>50005</v>
      </c>
      <c r="LX75" s="13">
        <v>50005</v>
      </c>
      <c r="LY75" s="13">
        <v>50005</v>
      </c>
      <c r="LZ75" s="13">
        <v>50005</v>
      </c>
      <c r="MA75" s="13">
        <v>50005</v>
      </c>
      <c r="MB75" s="13">
        <v>50005</v>
      </c>
      <c r="MC75" s="13">
        <v>50004</v>
      </c>
      <c r="MD75" s="13">
        <v>50003</v>
      </c>
      <c r="ME75" s="13">
        <v>49999</v>
      </c>
      <c r="MF75" s="13">
        <v>49995</v>
      </c>
      <c r="MG75" s="13">
        <v>49991</v>
      </c>
      <c r="MH75" s="13">
        <v>49986</v>
      </c>
      <c r="MI75" s="13">
        <v>49978</v>
      </c>
      <c r="MJ75" s="13">
        <v>49965</v>
      </c>
      <c r="MK75" s="13">
        <v>49948</v>
      </c>
      <c r="ML75" s="13">
        <v>49912</v>
      </c>
      <c r="MM75" s="13">
        <v>49871</v>
      </c>
      <c r="MN75" s="13">
        <v>49797</v>
      </c>
      <c r="MO75" s="13">
        <v>49671</v>
      </c>
      <c r="MP75" s="13">
        <v>49540</v>
      </c>
      <c r="MQ75" s="13">
        <v>49426</v>
      </c>
      <c r="MR75" s="13">
        <v>49315</v>
      </c>
      <c r="MS75" s="13">
        <v>49122</v>
      </c>
      <c r="MT75" s="13">
        <v>48557</v>
      </c>
      <c r="MU75" s="13">
        <v>48137</v>
      </c>
      <c r="MV75" s="13">
        <v>47824</v>
      </c>
      <c r="MW75" s="13">
        <v>47441</v>
      </c>
      <c r="MX75" s="13">
        <v>47071</v>
      </c>
      <c r="MY75" s="13">
        <v>46607</v>
      </c>
      <c r="MZ75" s="13">
        <v>46201</v>
      </c>
      <c r="NA75" s="13">
        <v>45660</v>
      </c>
      <c r="NB75" s="13">
        <v>45346</v>
      </c>
      <c r="NC75" s="13">
        <v>45027</v>
      </c>
      <c r="ND75" s="13">
        <v>44412</v>
      </c>
      <c r="NE75" s="13">
        <v>42752</v>
      </c>
      <c r="NF75" s="13">
        <v>41152</v>
      </c>
      <c r="NG75" s="13">
        <v>39462</v>
      </c>
      <c r="NH75" s="13">
        <v>37914</v>
      </c>
      <c r="NI75" s="13">
        <v>35991</v>
      </c>
      <c r="NJ75" s="13">
        <v>32994</v>
      </c>
    </row>
    <row r="76" spans="1:397">
      <c r="A76" s="13" t="s">
        <v>67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>
        <v>0</v>
      </c>
      <c r="IL76" s="13">
        <v>0</v>
      </c>
      <c r="IM76" s="13">
        <v>0</v>
      </c>
      <c r="IN76" s="13">
        <v>0</v>
      </c>
      <c r="IO76" s="13">
        <v>0</v>
      </c>
      <c r="IP76" s="13">
        <v>0</v>
      </c>
      <c r="IQ76" s="13">
        <v>0</v>
      </c>
      <c r="IR76" s="13">
        <v>0</v>
      </c>
      <c r="IS76" s="13">
        <v>0</v>
      </c>
      <c r="IT76" s="13">
        <v>0</v>
      </c>
      <c r="IU76" s="13">
        <v>0</v>
      </c>
      <c r="IV76" s="13">
        <v>0</v>
      </c>
      <c r="IW76" s="13">
        <v>0</v>
      </c>
      <c r="IX76" s="13">
        <v>0</v>
      </c>
      <c r="IY76" s="13">
        <v>0</v>
      </c>
      <c r="IZ76" s="13">
        <v>0</v>
      </c>
      <c r="JA76" s="13">
        <v>0</v>
      </c>
      <c r="JB76" s="13">
        <v>0</v>
      </c>
      <c r="JC76" s="13">
        <v>0</v>
      </c>
      <c r="JD76" s="13">
        <v>0</v>
      </c>
      <c r="JE76" s="13">
        <v>0</v>
      </c>
      <c r="JF76" s="13">
        <v>0</v>
      </c>
      <c r="JG76" s="13">
        <v>0</v>
      </c>
      <c r="JH76" s="13">
        <v>0</v>
      </c>
      <c r="JI76" s="13">
        <v>0</v>
      </c>
      <c r="JJ76" s="13">
        <v>0</v>
      </c>
      <c r="JK76" s="13">
        <v>0</v>
      </c>
      <c r="JL76" s="13">
        <v>0</v>
      </c>
      <c r="JM76" s="13">
        <v>0</v>
      </c>
      <c r="JN76" s="13">
        <v>0</v>
      </c>
      <c r="JO76" s="13">
        <v>0</v>
      </c>
      <c r="JP76" s="13">
        <v>0</v>
      </c>
      <c r="JQ76" s="13">
        <v>0</v>
      </c>
      <c r="JR76" s="13">
        <v>0</v>
      </c>
      <c r="JS76" s="13">
        <v>0</v>
      </c>
      <c r="JT76" s="13">
        <v>0</v>
      </c>
      <c r="JU76" s="13">
        <v>0</v>
      </c>
      <c r="JV76" s="13">
        <v>0</v>
      </c>
      <c r="JW76" s="13">
        <v>0</v>
      </c>
      <c r="JX76" s="13">
        <v>0</v>
      </c>
      <c r="JY76" s="13">
        <v>0</v>
      </c>
      <c r="JZ76" s="13">
        <v>0</v>
      </c>
      <c r="KA76" s="13">
        <v>0</v>
      </c>
      <c r="KB76" s="13">
        <v>0</v>
      </c>
      <c r="KC76" s="13">
        <v>0</v>
      </c>
      <c r="KD76" s="13">
        <v>0</v>
      </c>
      <c r="KE76" s="13">
        <v>0</v>
      </c>
      <c r="KF76" s="13">
        <v>0</v>
      </c>
      <c r="KG76" s="13">
        <v>0</v>
      </c>
      <c r="KH76" s="13">
        <v>0</v>
      </c>
      <c r="KI76" s="13">
        <v>0</v>
      </c>
      <c r="KJ76" s="13">
        <v>0</v>
      </c>
      <c r="KK76" s="13">
        <v>0</v>
      </c>
      <c r="KL76" s="13">
        <v>0</v>
      </c>
      <c r="KM76" s="13">
        <v>0</v>
      </c>
      <c r="KN76" s="13">
        <v>0</v>
      </c>
      <c r="KO76" s="13">
        <v>0</v>
      </c>
      <c r="KP76" s="13">
        <v>0</v>
      </c>
      <c r="KQ76" s="13">
        <v>0</v>
      </c>
      <c r="KR76" s="13">
        <v>0</v>
      </c>
      <c r="KS76" s="13">
        <v>0</v>
      </c>
      <c r="KT76" s="13">
        <v>0</v>
      </c>
      <c r="KU76" s="13">
        <v>0</v>
      </c>
      <c r="KV76" s="13">
        <v>0</v>
      </c>
      <c r="KW76" s="13">
        <v>0</v>
      </c>
      <c r="KX76" s="13">
        <v>0</v>
      </c>
      <c r="KY76" s="13">
        <v>0</v>
      </c>
      <c r="KZ76" s="13">
        <v>0</v>
      </c>
      <c r="LA76" s="13">
        <v>0</v>
      </c>
      <c r="LB76" s="13">
        <v>0</v>
      </c>
      <c r="LC76" s="13">
        <v>0</v>
      </c>
      <c r="LD76" s="13">
        <v>0</v>
      </c>
      <c r="LE76" s="13">
        <v>0</v>
      </c>
      <c r="LF76" s="13">
        <v>0</v>
      </c>
      <c r="LG76" s="13">
        <v>0</v>
      </c>
      <c r="LH76" s="13">
        <v>0</v>
      </c>
      <c r="LI76" s="13">
        <v>0</v>
      </c>
      <c r="LJ76" s="13">
        <v>0</v>
      </c>
      <c r="LK76" s="13">
        <v>0</v>
      </c>
      <c r="LL76" s="13">
        <v>0</v>
      </c>
      <c r="LM76" s="13">
        <v>0</v>
      </c>
      <c r="LN76" s="13">
        <v>0</v>
      </c>
      <c r="LO76" s="13">
        <v>0</v>
      </c>
      <c r="LP76" s="13">
        <v>0</v>
      </c>
      <c r="LQ76" s="13">
        <v>0</v>
      </c>
      <c r="LR76" s="13">
        <v>0</v>
      </c>
      <c r="LS76" s="13">
        <v>0</v>
      </c>
      <c r="LT76" s="13">
        <v>0</v>
      </c>
      <c r="LU76" s="13">
        <v>0</v>
      </c>
      <c r="LV76" s="13">
        <v>0</v>
      </c>
      <c r="LW76" s="13">
        <v>0</v>
      </c>
      <c r="LX76" s="13">
        <v>0</v>
      </c>
      <c r="LY76" s="13">
        <v>0</v>
      </c>
      <c r="LZ76" s="13">
        <v>0</v>
      </c>
      <c r="MA76" s="13">
        <v>0</v>
      </c>
      <c r="MB76" s="13">
        <v>0</v>
      </c>
      <c r="MC76" s="13">
        <v>0</v>
      </c>
      <c r="MD76" s="13">
        <v>2</v>
      </c>
      <c r="ME76" s="13">
        <v>1</v>
      </c>
      <c r="MF76" s="13">
        <v>0</v>
      </c>
      <c r="MG76" s="13">
        <v>1</v>
      </c>
      <c r="MH76" s="13">
        <v>2</v>
      </c>
      <c r="MI76" s="13">
        <v>6</v>
      </c>
      <c r="MJ76" s="13">
        <v>12</v>
      </c>
      <c r="MK76" s="13">
        <v>28</v>
      </c>
      <c r="ML76" s="13">
        <v>42</v>
      </c>
      <c r="MM76" s="13">
        <v>46</v>
      </c>
      <c r="MN76" s="13">
        <v>42</v>
      </c>
      <c r="MO76" s="13">
        <v>61</v>
      </c>
      <c r="MP76" s="13">
        <v>43</v>
      </c>
      <c r="MQ76" s="13">
        <v>62</v>
      </c>
      <c r="MR76" s="13">
        <v>70</v>
      </c>
      <c r="MS76" s="13">
        <v>50</v>
      </c>
      <c r="MT76" s="13">
        <v>114</v>
      </c>
      <c r="MU76" s="13">
        <v>295</v>
      </c>
      <c r="MV76" s="13">
        <v>341</v>
      </c>
      <c r="MW76" s="13">
        <v>242</v>
      </c>
      <c r="MX76" s="13">
        <v>282</v>
      </c>
      <c r="MY76" s="13">
        <v>318</v>
      </c>
      <c r="MZ76" s="13">
        <v>454</v>
      </c>
      <c r="NA76" s="13">
        <v>927</v>
      </c>
      <c r="NB76" s="13">
        <v>979</v>
      </c>
      <c r="NC76" s="13">
        <v>483</v>
      </c>
      <c r="ND76" s="13">
        <v>234</v>
      </c>
      <c r="NE76" s="13">
        <v>340</v>
      </c>
      <c r="NF76" s="13">
        <v>338</v>
      </c>
      <c r="NG76" s="13">
        <v>391</v>
      </c>
      <c r="NH76" s="13">
        <v>507</v>
      </c>
      <c r="NI76" s="13">
        <v>473</v>
      </c>
      <c r="NJ76" s="13">
        <v>620</v>
      </c>
    </row>
    <row r="77" spans="1:397">
      <c r="A77" s="13" t="s">
        <v>68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>
        <v>0</v>
      </c>
      <c r="IL77" s="13">
        <v>0</v>
      </c>
      <c r="IM77" s="13">
        <v>0</v>
      </c>
      <c r="IN77" s="13">
        <v>0</v>
      </c>
      <c r="IO77" s="13">
        <v>0</v>
      </c>
      <c r="IP77" s="13">
        <v>0</v>
      </c>
      <c r="IQ77" s="13">
        <v>0</v>
      </c>
      <c r="IR77" s="13">
        <v>0</v>
      </c>
      <c r="IS77" s="13">
        <v>0</v>
      </c>
      <c r="IT77" s="13">
        <v>0</v>
      </c>
      <c r="IU77" s="13">
        <v>0</v>
      </c>
      <c r="IV77" s="13">
        <v>0</v>
      </c>
      <c r="IW77" s="13">
        <v>0</v>
      </c>
      <c r="IX77" s="13">
        <v>0</v>
      </c>
      <c r="IY77" s="13">
        <v>0</v>
      </c>
      <c r="IZ77" s="13">
        <v>0</v>
      </c>
      <c r="JA77" s="13">
        <v>0</v>
      </c>
      <c r="JB77" s="13">
        <v>0</v>
      </c>
      <c r="JC77" s="13">
        <v>0</v>
      </c>
      <c r="JD77" s="13">
        <v>0</v>
      </c>
      <c r="JE77" s="13">
        <v>0</v>
      </c>
      <c r="JF77" s="13">
        <v>0</v>
      </c>
      <c r="JG77" s="13">
        <v>0</v>
      </c>
      <c r="JH77" s="13">
        <v>0</v>
      </c>
      <c r="JI77" s="13">
        <v>0</v>
      </c>
      <c r="JJ77" s="13">
        <v>0</v>
      </c>
      <c r="JK77" s="13">
        <v>0</v>
      </c>
      <c r="JL77" s="13">
        <v>0</v>
      </c>
      <c r="JM77" s="13">
        <v>0</v>
      </c>
      <c r="JN77" s="13">
        <v>0</v>
      </c>
      <c r="JO77" s="13">
        <v>0</v>
      </c>
      <c r="JP77" s="13">
        <v>0</v>
      </c>
      <c r="JQ77" s="13">
        <v>0</v>
      </c>
      <c r="JR77" s="13">
        <v>0</v>
      </c>
      <c r="JS77" s="13">
        <v>0</v>
      </c>
      <c r="JT77" s="13">
        <v>0</v>
      </c>
      <c r="JU77" s="13">
        <v>0</v>
      </c>
      <c r="JV77" s="13">
        <v>0</v>
      </c>
      <c r="JW77" s="13">
        <v>0</v>
      </c>
      <c r="JX77" s="13">
        <v>0</v>
      </c>
      <c r="JY77" s="13">
        <v>0</v>
      </c>
      <c r="JZ77" s="13">
        <v>0</v>
      </c>
      <c r="KA77" s="13">
        <v>0</v>
      </c>
      <c r="KB77" s="13">
        <v>0</v>
      </c>
      <c r="KC77" s="13">
        <v>0</v>
      </c>
      <c r="KD77" s="13">
        <v>0</v>
      </c>
      <c r="KE77" s="13">
        <v>0</v>
      </c>
      <c r="KF77" s="13">
        <v>0</v>
      </c>
      <c r="KG77" s="13">
        <v>0</v>
      </c>
      <c r="KH77" s="13">
        <v>0</v>
      </c>
      <c r="KI77" s="13">
        <v>0</v>
      </c>
      <c r="KJ77" s="13">
        <v>0</v>
      </c>
      <c r="KK77" s="13">
        <v>0</v>
      </c>
      <c r="KL77" s="13">
        <v>0</v>
      </c>
      <c r="KM77" s="13">
        <v>0</v>
      </c>
      <c r="KN77" s="13">
        <v>0</v>
      </c>
      <c r="KO77" s="13">
        <v>0</v>
      </c>
      <c r="KP77" s="13">
        <v>0</v>
      </c>
      <c r="KQ77" s="13">
        <v>0</v>
      </c>
      <c r="KR77" s="13">
        <v>0</v>
      </c>
      <c r="KS77" s="13">
        <v>0</v>
      </c>
      <c r="KT77" s="13">
        <v>0</v>
      </c>
      <c r="KU77" s="13">
        <v>0</v>
      </c>
      <c r="KV77" s="13">
        <v>0</v>
      </c>
      <c r="KW77" s="13">
        <v>0</v>
      </c>
      <c r="KX77" s="13">
        <v>0</v>
      </c>
      <c r="KY77" s="13">
        <v>0</v>
      </c>
      <c r="KZ77" s="13">
        <v>0</v>
      </c>
      <c r="LA77" s="13">
        <v>0</v>
      </c>
      <c r="LB77" s="13">
        <v>0</v>
      </c>
      <c r="LC77" s="13">
        <v>0</v>
      </c>
      <c r="LD77" s="13">
        <v>0</v>
      </c>
      <c r="LE77" s="13">
        <v>0</v>
      </c>
      <c r="LF77" s="13">
        <v>0</v>
      </c>
      <c r="LG77" s="13">
        <v>0</v>
      </c>
      <c r="LH77" s="13">
        <v>0</v>
      </c>
      <c r="LI77" s="13">
        <v>0</v>
      </c>
      <c r="LJ77" s="13">
        <v>0</v>
      </c>
      <c r="LK77" s="13">
        <v>0</v>
      </c>
      <c r="LL77" s="13">
        <v>0</v>
      </c>
      <c r="LM77" s="13">
        <v>0</v>
      </c>
      <c r="LN77" s="13">
        <v>0</v>
      </c>
      <c r="LO77" s="13">
        <v>0</v>
      </c>
      <c r="LP77" s="13">
        <v>0</v>
      </c>
      <c r="LQ77" s="13">
        <v>0</v>
      </c>
      <c r="LR77" s="13">
        <v>0</v>
      </c>
      <c r="LS77" s="13">
        <v>0</v>
      </c>
      <c r="LT77" s="13">
        <v>0</v>
      </c>
      <c r="LU77" s="13">
        <v>0</v>
      </c>
      <c r="LV77" s="13">
        <v>0</v>
      </c>
      <c r="LW77" s="13">
        <v>0</v>
      </c>
      <c r="LX77" s="13">
        <v>0</v>
      </c>
      <c r="LY77" s="13">
        <v>0</v>
      </c>
      <c r="LZ77" s="13">
        <v>0</v>
      </c>
      <c r="MA77" s="13">
        <v>0</v>
      </c>
      <c r="MB77" s="13">
        <v>0</v>
      </c>
      <c r="MC77" s="13">
        <v>1</v>
      </c>
      <c r="MD77" s="13">
        <v>15</v>
      </c>
      <c r="ME77" s="13">
        <v>15</v>
      </c>
      <c r="MF77" s="13">
        <v>30</v>
      </c>
      <c r="MG77" s="13">
        <v>44</v>
      </c>
      <c r="MH77" s="13">
        <v>152</v>
      </c>
      <c r="MI77" s="13">
        <v>192</v>
      </c>
      <c r="MJ77" s="13">
        <v>230</v>
      </c>
      <c r="MK77" s="13">
        <v>253</v>
      </c>
      <c r="ML77" s="13">
        <v>258</v>
      </c>
      <c r="MM77" s="13">
        <v>256</v>
      </c>
      <c r="MN77" s="13">
        <v>232</v>
      </c>
      <c r="MO77" s="13">
        <v>247</v>
      </c>
      <c r="MP77" s="13">
        <v>234</v>
      </c>
      <c r="MQ77" s="13">
        <v>316</v>
      </c>
      <c r="MR77" s="13">
        <v>340</v>
      </c>
      <c r="MS77" s="13">
        <v>393</v>
      </c>
      <c r="MT77" s="13">
        <v>788</v>
      </c>
      <c r="MU77" s="13">
        <v>1488</v>
      </c>
      <c r="MV77" s="13">
        <v>1459</v>
      </c>
      <c r="MW77" s="13">
        <v>1447</v>
      </c>
      <c r="MX77" s="13">
        <v>1529</v>
      </c>
      <c r="MY77" s="13">
        <v>1877</v>
      </c>
      <c r="MZ77" s="13">
        <v>2382</v>
      </c>
      <c r="NA77" s="13">
        <v>3414</v>
      </c>
      <c r="NB77" s="13">
        <v>2820</v>
      </c>
      <c r="NC77" s="13">
        <v>1940</v>
      </c>
      <c r="ND77" s="13">
        <v>1649</v>
      </c>
      <c r="NE77" s="13">
        <v>1799</v>
      </c>
      <c r="NF77" s="13">
        <v>1971</v>
      </c>
      <c r="NG77" s="13">
        <v>2168</v>
      </c>
      <c r="NH77" s="13">
        <v>2265</v>
      </c>
      <c r="NI77" s="13">
        <v>2585</v>
      </c>
      <c r="NJ77" s="13">
        <v>4904</v>
      </c>
    </row>
    <row r="78" spans="1:397">
      <c r="A78" s="13" t="s">
        <v>58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6">
        <f t="shared" ref="IK78" si="517">IK73/IK75</f>
        <v>0.92314263011521658</v>
      </c>
      <c r="IL78" s="16">
        <f t="shared" ref="IL78" si="518">IL73/IL75</f>
        <v>0.92314263011521658</v>
      </c>
      <c r="IM78" s="16">
        <f t="shared" ref="IM78:IN78" si="519">IM73/IM75</f>
        <v>0.92314263011521658</v>
      </c>
      <c r="IN78" s="16">
        <f t="shared" si="519"/>
        <v>0.92314263011521658</v>
      </c>
      <c r="IO78" s="16">
        <f t="shared" ref="IO78" si="520">IO73/IO75</f>
        <v>0.92314263011521658</v>
      </c>
      <c r="IP78" s="16">
        <f t="shared" ref="IP78:IQ78" si="521">IP73/IP75</f>
        <v>0.92314263011521658</v>
      </c>
      <c r="IQ78" s="16">
        <f t="shared" si="521"/>
        <v>0.92314263011521658</v>
      </c>
      <c r="IR78" s="16">
        <f t="shared" ref="IR78" si="522">IR73/IR75</f>
        <v>0.92314263011521658</v>
      </c>
      <c r="IS78" s="16">
        <f t="shared" ref="IS78:IT78" si="523">IS73/IS75</f>
        <v>0.92314263011521658</v>
      </c>
      <c r="IT78" s="16">
        <f t="shared" si="523"/>
        <v>0.92314263011521658</v>
      </c>
      <c r="IU78" s="16">
        <f t="shared" ref="IU78:IV78" si="524">IU73/IU75</f>
        <v>0.92314263011521658</v>
      </c>
      <c r="IV78" s="16">
        <f t="shared" si="524"/>
        <v>0.92314263011521658</v>
      </c>
      <c r="IW78" s="16">
        <f t="shared" ref="IW78" si="525">IW73/IW75</f>
        <v>0.92314263011521658</v>
      </c>
      <c r="IX78" s="16">
        <f t="shared" ref="IX78" si="526">IX73/IX75</f>
        <v>0.92314263011521658</v>
      </c>
      <c r="IY78" s="16">
        <f t="shared" ref="IY78:IZ78" si="527">IY73/IY75</f>
        <v>0.92314263011521658</v>
      </c>
      <c r="IZ78" s="16">
        <f t="shared" si="527"/>
        <v>0.92314263011521658</v>
      </c>
      <c r="JA78" s="16">
        <f t="shared" ref="JA78" si="528">JA73/JA75</f>
        <v>0.92314263011521658</v>
      </c>
      <c r="JB78" s="16">
        <f t="shared" ref="JB78:JC78" si="529">JB73/JB75</f>
        <v>0.92308303535955505</v>
      </c>
      <c r="JC78" s="16">
        <f t="shared" si="529"/>
        <v>0.92308303535955505</v>
      </c>
      <c r="JD78" s="16">
        <f t="shared" ref="JD78" si="530">JD73/JD75</f>
        <v>0.92308303535955505</v>
      </c>
      <c r="JE78" s="16">
        <f t="shared" ref="JE78" si="531">JE73/JE75</f>
        <v>0.9230433055224474</v>
      </c>
      <c r="JF78" s="16">
        <f t="shared" ref="JF78" si="532">JF73/JF75</f>
        <v>0.92306317044100117</v>
      </c>
      <c r="JG78" s="16">
        <f t="shared" ref="JG78" si="533">JG73/JG75</f>
        <v>0.9230433055224474</v>
      </c>
      <c r="JH78" s="16">
        <f t="shared" ref="JH78:JI78" si="534">JH73/JH75</f>
        <v>0.9230433055224474</v>
      </c>
      <c r="JI78" s="16">
        <f t="shared" si="534"/>
        <v>0.9230433055224474</v>
      </c>
      <c r="JJ78" s="16">
        <f t="shared" ref="JJ78:JK78" si="535">JJ73/JJ75</f>
        <v>0.9230433055224474</v>
      </c>
      <c r="JK78" s="16">
        <f t="shared" si="535"/>
        <v>0.92302344060389352</v>
      </c>
      <c r="JL78" s="16">
        <f t="shared" ref="JL78:JM78" si="536">JL73/JL75</f>
        <v>0.92302344060389352</v>
      </c>
      <c r="JM78" s="16">
        <f t="shared" si="536"/>
        <v>0.92300357568533964</v>
      </c>
      <c r="JN78" s="16">
        <f t="shared" ref="JN78:JO78" si="537">JN73/JN75</f>
        <v>0.92300357568533964</v>
      </c>
      <c r="JO78" s="16">
        <f t="shared" si="537"/>
        <v>0.92300357568533964</v>
      </c>
      <c r="JP78" s="16">
        <f t="shared" ref="JP78:JQ78" si="538">JP73/JP75</f>
        <v>0.92300357568533964</v>
      </c>
      <c r="JQ78" s="16">
        <f t="shared" si="538"/>
        <v>0.92300357568533964</v>
      </c>
      <c r="JR78" s="16">
        <f t="shared" ref="JR78:JS78" si="539">JR73/JR75</f>
        <v>0.92300357568533964</v>
      </c>
      <c r="JS78" s="16">
        <f t="shared" si="539"/>
        <v>0.92302191144043388</v>
      </c>
      <c r="JT78" s="16">
        <f t="shared" ref="JT78" si="540">JT73/JT75</f>
        <v>0.92302191144043388</v>
      </c>
      <c r="JU78" s="16">
        <f t="shared" ref="JU78:JV78" si="541">JU73/JU75</f>
        <v>0.92302191144043388</v>
      </c>
      <c r="JV78" s="16">
        <f t="shared" si="541"/>
        <v>0.92302191144043388</v>
      </c>
      <c r="JW78" s="16">
        <f t="shared" ref="JW78:JX78" si="542">JW73/JW75</f>
        <v>0.92302191144043388</v>
      </c>
      <c r="JX78" s="16">
        <f t="shared" si="542"/>
        <v>0.92302191144043388</v>
      </c>
      <c r="JY78" s="16">
        <f t="shared" ref="JY78:JZ78" si="543">JY73/JY75</f>
        <v>0.92302191144043388</v>
      </c>
      <c r="JZ78" s="16">
        <f t="shared" si="543"/>
        <v>0.92302191144043388</v>
      </c>
      <c r="KA78" s="16">
        <f t="shared" ref="KA78" si="544">KA73/KA75</f>
        <v>0.9231136011443557</v>
      </c>
      <c r="KB78" s="16">
        <f t="shared" ref="KB78:KC78" si="545">KB73/KB75</f>
        <v>0.92313194127113429</v>
      </c>
      <c r="KC78" s="16">
        <f t="shared" si="545"/>
        <v>0.92313194127113429</v>
      </c>
      <c r="KD78" s="16">
        <f t="shared" ref="KD78:KE78" si="546">KD73/KD75</f>
        <v>0.92313194127113429</v>
      </c>
      <c r="KE78" s="16">
        <f t="shared" si="546"/>
        <v>0.92313194127113429</v>
      </c>
      <c r="KF78" s="16">
        <f t="shared" ref="KF78:KG78" si="547">KF73/KF75</f>
        <v>0.92313194127113429</v>
      </c>
      <c r="KG78" s="16">
        <f t="shared" si="547"/>
        <v>0.92313194127113429</v>
      </c>
      <c r="KH78" s="16">
        <f t="shared" ref="KH78:KI78" si="548">KH73/KH75</f>
        <v>0.92313194127113429</v>
      </c>
      <c r="KI78" s="16">
        <f t="shared" si="548"/>
        <v>0.92313194127113429</v>
      </c>
      <c r="KJ78" s="16">
        <f t="shared" ref="KJ78:KK78" si="549">KJ73/KJ75</f>
        <v>0.92313194127113429</v>
      </c>
      <c r="KK78" s="16">
        <f t="shared" si="549"/>
        <v>0.92313194127113429</v>
      </c>
      <c r="KL78" s="16">
        <f t="shared" ref="KL78:KM78" si="550">KL73/KL75</f>
        <v>0.92313194127113429</v>
      </c>
      <c r="KM78" s="16">
        <f t="shared" si="550"/>
        <v>0.92313194127113429</v>
      </c>
      <c r="KN78" s="16">
        <f t="shared" ref="KN78:LC78" si="551">KN73/KN75</f>
        <v>0.92313194127113429</v>
      </c>
      <c r="KO78" s="16">
        <f t="shared" si="551"/>
        <v>0.92289352909621913</v>
      </c>
      <c r="KP78" s="16">
        <f t="shared" si="551"/>
        <v>0.92267498460254704</v>
      </c>
      <c r="KQ78" s="16">
        <f t="shared" si="551"/>
        <v>0.92219816025271695</v>
      </c>
      <c r="KR78" s="16">
        <f t="shared" si="551"/>
        <v>0.92176107126537266</v>
      </c>
      <c r="KS78" s="16">
        <f t="shared" si="551"/>
        <v>0.92120477619057084</v>
      </c>
      <c r="KT78" s="16">
        <f t="shared" si="551"/>
        <v>0.92110543778435616</v>
      </c>
      <c r="KU78" s="16">
        <f t="shared" si="551"/>
        <v>0.9210458347406274</v>
      </c>
      <c r="KV78" s="16">
        <f t="shared" si="551"/>
        <v>0.92096636401565568</v>
      </c>
      <c r="KW78" s="16">
        <f t="shared" si="551"/>
        <v>0.92070808415949779</v>
      </c>
      <c r="KX78" s="16">
        <f t="shared" si="551"/>
        <v>0.9205690103907973</v>
      </c>
      <c r="KY78" s="16">
        <f t="shared" si="551"/>
        <v>0.94550871860502317</v>
      </c>
      <c r="KZ78" s="16">
        <f t="shared" si="551"/>
        <v>0.94484882418812988</v>
      </c>
      <c r="LA78" s="16">
        <f t="shared" si="551"/>
        <v>0.94406894896816507</v>
      </c>
      <c r="LB78" s="16">
        <f t="shared" si="551"/>
        <v>0.9435690289553671</v>
      </c>
      <c r="LC78" s="16">
        <f t="shared" si="551"/>
        <v>0.94242921132618784</v>
      </c>
      <c r="LD78" s="16">
        <f t="shared" ref="LD78:NE78" si="552">LD73/LD75</f>
        <v>0.94208926571748519</v>
      </c>
      <c r="LE78" s="16">
        <f t="shared" si="552"/>
        <v>0.94154935210366342</v>
      </c>
      <c r="LF78" s="16">
        <f t="shared" si="552"/>
        <v>0.94056950887857937</v>
      </c>
      <c r="LG78" s="16">
        <f t="shared" si="552"/>
        <v>0.93966965285554316</v>
      </c>
      <c r="LH78" s="16">
        <f t="shared" si="552"/>
        <v>0.93828987362022076</v>
      </c>
      <c r="LI78" s="16">
        <f t="shared" si="552"/>
        <v>0.9371100623900176</v>
      </c>
      <c r="LJ78" s="16">
        <f t="shared" si="552"/>
        <v>0.9357302831546952</v>
      </c>
      <c r="LK78" s="16">
        <f t="shared" si="552"/>
        <v>0.93207086866101418</v>
      </c>
      <c r="LL78" s="16">
        <f t="shared" si="552"/>
        <v>0.92908992741016261</v>
      </c>
      <c r="LM78" s="16">
        <f t="shared" si="552"/>
        <v>0.92627032215489835</v>
      </c>
      <c r="LN78" s="16">
        <f t="shared" si="552"/>
        <v>0.92337072809806631</v>
      </c>
      <c r="LO78" s="16">
        <f t="shared" si="552"/>
        <v>0.91992960844698635</v>
      </c>
      <c r="LP78" s="16">
        <f t="shared" si="552"/>
        <v>0.91455025396952361</v>
      </c>
      <c r="LQ78" s="16">
        <f t="shared" si="552"/>
        <v>0.90825100987881457</v>
      </c>
      <c r="LR78" s="16">
        <f t="shared" si="552"/>
        <v>0.89891213054433472</v>
      </c>
      <c r="LS78" s="16">
        <f t="shared" si="552"/>
        <v>0.89171299444066709</v>
      </c>
      <c r="LT78" s="16">
        <f t="shared" si="552"/>
        <v>0.88125424949006115</v>
      </c>
      <c r="LU78" s="16">
        <f t="shared" si="552"/>
        <v>0.87361516618005841</v>
      </c>
      <c r="LV78" s="16">
        <f t="shared" si="552"/>
        <v>0.86417629884413871</v>
      </c>
      <c r="LW78" s="16">
        <f t="shared" si="552"/>
        <v>0.85567443255674436</v>
      </c>
      <c r="LX78" s="16">
        <f t="shared" si="552"/>
        <v>0.84699530046995297</v>
      </c>
      <c r="LY78" s="16">
        <f t="shared" si="552"/>
        <v>0.83773622637736223</v>
      </c>
      <c r="LZ78" s="16">
        <f t="shared" si="552"/>
        <v>0.82769723027697228</v>
      </c>
      <c r="MA78" s="16">
        <f t="shared" si="552"/>
        <v>0.81521847815218473</v>
      </c>
      <c r="MB78" s="16">
        <f t="shared" si="552"/>
        <v>0.80055994400559949</v>
      </c>
      <c r="MC78" s="16">
        <f t="shared" si="552"/>
        <v>0.78433725301975843</v>
      </c>
      <c r="MD78" s="16">
        <f t="shared" si="552"/>
        <v>0.76763394196348222</v>
      </c>
      <c r="ME78" s="16">
        <f t="shared" si="552"/>
        <v>0.75265505310106207</v>
      </c>
      <c r="MF78" s="16">
        <f t="shared" si="552"/>
        <v>0.72909290929092907</v>
      </c>
      <c r="MG78" s="16">
        <f t="shared" si="552"/>
        <v>0.70406673201176206</v>
      </c>
      <c r="MH78" s="16">
        <f t="shared" si="552"/>
        <v>0.68207097987436482</v>
      </c>
      <c r="MI78" s="16">
        <f t="shared" si="552"/>
        <v>0.66111088879106805</v>
      </c>
      <c r="MJ78" s="16">
        <f t="shared" si="552"/>
        <v>0.63702591814269993</v>
      </c>
      <c r="MK78" s="16">
        <f t="shared" si="552"/>
        <v>0.61930407623928885</v>
      </c>
      <c r="ML78" s="16">
        <f t="shared" si="552"/>
        <v>0.59644975156275049</v>
      </c>
      <c r="MM78" s="16">
        <f t="shared" si="552"/>
        <v>0.5716949730304185</v>
      </c>
      <c r="MN78" s="16">
        <f t="shared" si="552"/>
        <v>0.54931019940960302</v>
      </c>
      <c r="MO78" s="16">
        <f t="shared" si="552"/>
        <v>0.5298061242978801</v>
      </c>
      <c r="MP78" s="16">
        <f t="shared" si="552"/>
        <v>0.50242228502220432</v>
      </c>
      <c r="MQ78" s="16">
        <f t="shared" si="552"/>
        <v>0.46596932788410955</v>
      </c>
      <c r="MR78" s="16">
        <f t="shared" si="552"/>
        <v>0.42958531886849843</v>
      </c>
      <c r="MS78" s="16">
        <f t="shared" si="552"/>
        <v>0.3914132160742641</v>
      </c>
      <c r="MT78" s="16">
        <f t="shared" si="552"/>
        <v>0.36147208435446998</v>
      </c>
      <c r="MU78" s="16">
        <f t="shared" si="552"/>
        <v>0.32876996904667927</v>
      </c>
      <c r="MV78" s="16">
        <f t="shared" si="552"/>
        <v>0.27868852459016391</v>
      </c>
      <c r="MW78" s="16">
        <f t="shared" si="552"/>
        <v>0.24858244977972641</v>
      </c>
      <c r="MX78" s="16">
        <f t="shared" si="552"/>
        <v>0.21960442735442204</v>
      </c>
      <c r="MY78" s="16">
        <f t="shared" si="552"/>
        <v>0.19194541592464651</v>
      </c>
      <c r="MZ78" s="16">
        <f t="shared" si="552"/>
        <v>0.17685764377394428</v>
      </c>
      <c r="NA78" s="16">
        <f t="shared" si="552"/>
        <v>0.1578186596583443</v>
      </c>
      <c r="NB78" s="16">
        <f t="shared" si="552"/>
        <v>0.13703524015348653</v>
      </c>
      <c r="NC78" s="16">
        <f t="shared" si="552"/>
        <v>0.12099407022453194</v>
      </c>
      <c r="ND78" s="16">
        <f t="shared" si="552"/>
        <v>0.11021795911015041</v>
      </c>
      <c r="NE78" s="16">
        <f t="shared" si="552"/>
        <v>9.868544161676647E-2</v>
      </c>
      <c r="NF78" s="16">
        <f t="shared" ref="NF78:NJ78" si="553">NF73/NF75</f>
        <v>8.4029937791601866E-2</v>
      </c>
      <c r="NG78" s="16">
        <f t="shared" si="553"/>
        <v>7.3868531752065272E-2</v>
      </c>
      <c r="NH78" s="16">
        <f t="shared" si="553"/>
        <v>6.5991454344041772E-2</v>
      </c>
      <c r="NI78" s="16">
        <f t="shared" si="553"/>
        <v>5.6014003500875216E-2</v>
      </c>
      <c r="NJ78" s="16">
        <f t="shared" si="553"/>
        <v>5.804085591319634E-2</v>
      </c>
      <c r="NK78" s="15"/>
      <c r="NL78" s="15"/>
      <c r="NM78" s="15"/>
      <c r="NN78" s="15"/>
      <c r="NO78" s="15"/>
      <c r="NP78" s="15"/>
      <c r="NQ78" s="15"/>
      <c r="NR78" s="15"/>
      <c r="NS78" s="15"/>
      <c r="NT78" s="15"/>
      <c r="NU78" s="15"/>
      <c r="NV78" s="15"/>
      <c r="NW78" s="15"/>
      <c r="NX78" s="15"/>
      <c r="NY78" s="15"/>
      <c r="NZ78" s="15"/>
      <c r="OA78" s="15"/>
      <c r="OB78" s="15"/>
      <c r="OC78" s="15"/>
      <c r="OD78" s="15"/>
      <c r="OE78" s="15"/>
      <c r="OF78" s="15"/>
      <c r="OG78" s="15"/>
    </row>
    <row r="79" spans="1:397">
      <c r="A79" s="13" t="s">
        <v>59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6">
        <f t="shared" ref="IK79" si="554">(IK72+IK74)/IK75</f>
        <v>7.6857369884783477E-2</v>
      </c>
      <c r="IL79" s="16">
        <f t="shared" ref="IL79" si="555">(IL72+IL74)/IL75</f>
        <v>7.6857369884783477E-2</v>
      </c>
      <c r="IM79" s="16">
        <f t="shared" ref="IM79:IN79" si="556">(IM72+IM74)/IM75</f>
        <v>7.6857369884783477E-2</v>
      </c>
      <c r="IN79" s="16">
        <f t="shared" si="556"/>
        <v>7.6857369884783477E-2</v>
      </c>
      <c r="IO79" s="16">
        <f t="shared" ref="IO79" si="557">(IO72+IO74)/IO75</f>
        <v>7.6857369884783477E-2</v>
      </c>
      <c r="IP79" s="16">
        <f t="shared" ref="IP79:IQ79" si="558">(IP72+IP74)/IP75</f>
        <v>7.6857369884783477E-2</v>
      </c>
      <c r="IQ79" s="16">
        <f t="shared" si="558"/>
        <v>7.6857369884783477E-2</v>
      </c>
      <c r="IR79" s="16">
        <f t="shared" ref="IR79" si="559">(IR72+IR74)/IR75</f>
        <v>7.6857369884783477E-2</v>
      </c>
      <c r="IS79" s="16">
        <f t="shared" ref="IS79:IT79" si="560">(IS72+IS74)/IS75</f>
        <v>7.6857369884783477E-2</v>
      </c>
      <c r="IT79" s="16">
        <f t="shared" si="560"/>
        <v>7.6857369884783477E-2</v>
      </c>
      <c r="IU79" s="16">
        <f t="shared" ref="IU79:IV79" si="561">(IU72+IU74)/IU75</f>
        <v>7.6857369884783477E-2</v>
      </c>
      <c r="IV79" s="16">
        <f t="shared" si="561"/>
        <v>7.6857369884783477E-2</v>
      </c>
      <c r="IW79" s="16">
        <f t="shared" ref="IW79" si="562">(IW72+IW74)/IW75</f>
        <v>7.6857369884783477E-2</v>
      </c>
      <c r="IX79" s="16">
        <f t="shared" ref="IX79" si="563">(IX72+IX74)/IX75</f>
        <v>7.6857369884783477E-2</v>
      </c>
      <c r="IY79" s="16">
        <f t="shared" ref="IY79:IZ79" si="564">(IY72+IY74)/IY75</f>
        <v>7.6857369884783477E-2</v>
      </c>
      <c r="IZ79" s="16">
        <f t="shared" si="564"/>
        <v>7.6857369884783477E-2</v>
      </c>
      <c r="JA79" s="16">
        <f t="shared" ref="JA79" si="565">(JA72+JA74)/JA75</f>
        <v>7.6857369884783477E-2</v>
      </c>
      <c r="JB79" s="16">
        <f t="shared" ref="JB79:JC79" si="566">(JB72+JB74)/JB75</f>
        <v>7.6877234803337302E-2</v>
      </c>
      <c r="JC79" s="16">
        <f t="shared" si="566"/>
        <v>7.6877234803337302E-2</v>
      </c>
      <c r="JD79" s="16">
        <f t="shared" ref="JD79" si="567">(JD72+JD74)/JD75</f>
        <v>7.6877234803337302E-2</v>
      </c>
      <c r="JE79" s="16">
        <f t="shared" ref="JE79" si="568">(JE72+JE74)/JE75</f>
        <v>7.6877234803337302E-2</v>
      </c>
      <c r="JF79" s="16">
        <f t="shared" ref="JF79" si="569">(JF72+JF74)/JF75</f>
        <v>7.6877234803337302E-2</v>
      </c>
      <c r="JG79" s="16">
        <f t="shared" ref="JG79" si="570">(JG72+JG74)/JG75</f>
        <v>7.6897099721891141E-2</v>
      </c>
      <c r="JH79" s="16">
        <f t="shared" ref="JH79:JI79" si="571">(JH72+JH74)/JH75</f>
        <v>7.6897099721891141E-2</v>
      </c>
      <c r="JI79" s="16">
        <f t="shared" si="571"/>
        <v>7.6897099721891141E-2</v>
      </c>
      <c r="JJ79" s="16">
        <f t="shared" ref="JJ79:JK79" si="572">(JJ72+JJ74)/JJ75</f>
        <v>7.6897099721891141E-2</v>
      </c>
      <c r="JK79" s="16">
        <f t="shared" si="572"/>
        <v>7.6897099721891141E-2</v>
      </c>
      <c r="JL79" s="16">
        <f t="shared" ref="JL79:JM79" si="573">(JL72+JL74)/JL75</f>
        <v>7.6897099721891141E-2</v>
      </c>
      <c r="JM79" s="16">
        <f t="shared" si="573"/>
        <v>7.6897099721891141E-2</v>
      </c>
      <c r="JN79" s="16">
        <f t="shared" ref="JN79:JO79" si="574">(JN72+JN74)/JN75</f>
        <v>7.6897099721891141E-2</v>
      </c>
      <c r="JO79" s="16">
        <f t="shared" si="574"/>
        <v>7.6897099721891141E-2</v>
      </c>
      <c r="JP79" s="16">
        <f t="shared" ref="JP79:JQ79" si="575">(JP72+JP74)/JP75</f>
        <v>7.6897099721891141E-2</v>
      </c>
      <c r="JQ79" s="16">
        <f t="shared" si="575"/>
        <v>7.6897099721891141E-2</v>
      </c>
      <c r="JR79" s="16">
        <f t="shared" ref="JR79:JS79" si="576">(JR72+JR74)/JR75</f>
        <v>7.6897099721891141E-2</v>
      </c>
      <c r="JS79" s="16">
        <f t="shared" si="576"/>
        <v>7.6898627306859493E-2</v>
      </c>
      <c r="JT79" s="16">
        <f t="shared" ref="JT79" si="577">(JT72+JT74)/JT75</f>
        <v>7.6898627306859493E-2</v>
      </c>
      <c r="JU79" s="16">
        <f t="shared" ref="JU79:JV79" si="578">(JU72+JU74)/JU75</f>
        <v>7.6898627306859493E-2</v>
      </c>
      <c r="JV79" s="16">
        <f t="shared" si="578"/>
        <v>7.6898627306859493E-2</v>
      </c>
      <c r="JW79" s="16">
        <f t="shared" ref="JW79:JX79" si="579">(JW72+JW74)/JW75</f>
        <v>7.6898627306859493E-2</v>
      </c>
      <c r="JX79" s="16">
        <f t="shared" si="579"/>
        <v>7.6898627306859493E-2</v>
      </c>
      <c r="JY79" s="16">
        <f t="shared" ref="JY79:JZ79" si="580">(JY72+JY74)/JY75</f>
        <v>7.6898627306859493E-2</v>
      </c>
      <c r="JZ79" s="16">
        <f t="shared" si="580"/>
        <v>7.6878761993682834E-2</v>
      </c>
      <c r="KA79" s="16">
        <f t="shared" ref="KA79" si="581">(KA72+KA74)/KA75</f>
        <v>7.6866531569118296E-2</v>
      </c>
      <c r="KB79" s="16">
        <f t="shared" ref="KB79:KC79" si="582">(KB72+KB74)/KB75</f>
        <v>7.6868058728865749E-2</v>
      </c>
      <c r="KC79" s="16">
        <f t="shared" si="582"/>
        <v>7.6868058728865749E-2</v>
      </c>
      <c r="KD79" s="16">
        <f t="shared" ref="KD79:KE79" si="583">(KD72+KD74)/KD75</f>
        <v>7.6868058728865749E-2</v>
      </c>
      <c r="KE79" s="16">
        <f t="shared" si="583"/>
        <v>7.6868058728865749E-2</v>
      </c>
      <c r="KF79" s="16">
        <f t="shared" ref="KF79:KG79" si="584">(KF72+KF74)/KF75</f>
        <v>7.6868058728865749E-2</v>
      </c>
      <c r="KG79" s="16">
        <f t="shared" si="584"/>
        <v>7.6868058728865749E-2</v>
      </c>
      <c r="KH79" s="16">
        <f t="shared" ref="KH79:KI79" si="585">(KH72+KH74)/KH75</f>
        <v>7.6868058728865749E-2</v>
      </c>
      <c r="KI79" s="16">
        <f t="shared" si="585"/>
        <v>7.6868058728865749E-2</v>
      </c>
      <c r="KJ79" s="16">
        <f t="shared" ref="KJ79:KK79" si="586">(KJ72+KJ74)/KJ75</f>
        <v>7.6868058728865749E-2</v>
      </c>
      <c r="KK79" s="16">
        <f t="shared" si="586"/>
        <v>7.6868058728865749E-2</v>
      </c>
      <c r="KL79" s="16">
        <f t="shared" ref="KL79:KM79" si="587">(KL72+KL74)/KL75</f>
        <v>7.6868058728865749E-2</v>
      </c>
      <c r="KM79" s="16">
        <f t="shared" si="587"/>
        <v>7.6868058728865749E-2</v>
      </c>
      <c r="KN79" s="16">
        <f t="shared" ref="KN79:LC79" si="588">(KN72+KN74)/KN75</f>
        <v>7.6868058728865749E-2</v>
      </c>
      <c r="KO79" s="16">
        <f t="shared" si="588"/>
        <v>7.6868058728865749E-2</v>
      </c>
      <c r="KP79" s="16">
        <f t="shared" si="588"/>
        <v>7.6868058728865749E-2</v>
      </c>
      <c r="KQ79" s="16">
        <f t="shared" si="588"/>
        <v>7.6887926410108678E-2</v>
      </c>
      <c r="KR79" s="16">
        <f t="shared" si="588"/>
        <v>7.6907794091351595E-2</v>
      </c>
      <c r="KS79" s="16">
        <f t="shared" si="588"/>
        <v>7.7166073947509586E-2</v>
      </c>
      <c r="KT79" s="16">
        <f t="shared" si="588"/>
        <v>7.7245544672481278E-2</v>
      </c>
      <c r="KU79" s="16">
        <f t="shared" si="588"/>
        <v>7.7265412353724194E-2</v>
      </c>
      <c r="KV79" s="16">
        <f t="shared" si="588"/>
        <v>7.730514771621004E-2</v>
      </c>
      <c r="KW79" s="16">
        <f t="shared" si="588"/>
        <v>7.7404486122424648E-2</v>
      </c>
      <c r="KX79" s="16">
        <f t="shared" si="588"/>
        <v>7.7503824528639256E-2</v>
      </c>
      <c r="KY79" s="16">
        <f t="shared" si="588"/>
        <v>5.2331626939689652E-2</v>
      </c>
      <c r="KZ79" s="16">
        <f t="shared" si="588"/>
        <v>5.2711566149416092E-2</v>
      </c>
      <c r="LA79" s="16">
        <f t="shared" si="588"/>
        <v>5.2931530955047192E-2</v>
      </c>
      <c r="LB79" s="16">
        <f t="shared" si="588"/>
        <v>5.3051511758118702E-2</v>
      </c>
      <c r="LC79" s="16">
        <f t="shared" si="588"/>
        <v>5.3371460566309391E-2</v>
      </c>
      <c r="LD79" s="16">
        <f t="shared" ref="LD79:NG79" si="589">(LD72+LD74)/LD75</f>
        <v>5.3411454167333228E-2</v>
      </c>
      <c r="LE79" s="16">
        <f t="shared" si="589"/>
        <v>5.3511438169892817E-2</v>
      </c>
      <c r="LF79" s="16">
        <f t="shared" si="589"/>
        <v>5.4171332586786115E-2</v>
      </c>
      <c r="LG79" s="16">
        <f t="shared" si="589"/>
        <v>5.4531274996000641E-2</v>
      </c>
      <c r="LH79" s="16">
        <f t="shared" si="589"/>
        <v>5.5031195008798592E-2</v>
      </c>
      <c r="LI79" s="16">
        <f t="shared" si="589"/>
        <v>5.6031035034394494E-2</v>
      </c>
      <c r="LJ79" s="16">
        <f t="shared" si="589"/>
        <v>5.6670932650775878E-2</v>
      </c>
      <c r="LK79" s="16">
        <f t="shared" si="589"/>
        <v>5.733082706766917E-2</v>
      </c>
      <c r="LL79" s="16">
        <f t="shared" si="589"/>
        <v>5.8171855940168375E-2</v>
      </c>
      <c r="LM79" s="16">
        <f t="shared" si="589"/>
        <v>5.9111724358589794E-2</v>
      </c>
      <c r="LN79" s="16">
        <f t="shared" si="589"/>
        <v>5.9691643169956204E-2</v>
      </c>
      <c r="LO79" s="16">
        <f t="shared" si="589"/>
        <v>6.0812702475702918E-2</v>
      </c>
      <c r="LP79" s="16">
        <f t="shared" si="589"/>
        <v>6.2872455305363353E-2</v>
      </c>
      <c r="LQ79" s="16">
        <f t="shared" si="589"/>
        <v>6.4972203335599735E-2</v>
      </c>
      <c r="LR79" s="16">
        <f t="shared" si="589"/>
        <v>6.8391792984841812E-2</v>
      </c>
      <c r="LS79" s="16">
        <f t="shared" si="589"/>
        <v>7.0591529016518023E-2</v>
      </c>
      <c r="LT79" s="16">
        <f t="shared" si="589"/>
        <v>7.4511058672959249E-2</v>
      </c>
      <c r="LU79" s="16">
        <f t="shared" si="589"/>
        <v>7.7670679518457783E-2</v>
      </c>
      <c r="LV79" s="16">
        <f t="shared" si="589"/>
        <v>8.1010278766548011E-2</v>
      </c>
      <c r="LW79" s="16">
        <f t="shared" si="589"/>
        <v>8.4311568843115692E-2</v>
      </c>
      <c r="LX79" s="16">
        <f t="shared" si="589"/>
        <v>8.6031396860313969E-2</v>
      </c>
      <c r="LY79" s="16">
        <f t="shared" si="589"/>
        <v>8.8091190880911913E-2</v>
      </c>
      <c r="LZ79" s="16">
        <f t="shared" si="589"/>
        <v>9.1190880911908814E-2</v>
      </c>
      <c r="MA79" s="16">
        <f t="shared" si="589"/>
        <v>9.4350564943505646E-2</v>
      </c>
      <c r="MB79" s="16">
        <f t="shared" si="589"/>
        <v>0.10006999300069994</v>
      </c>
      <c r="MC79" s="16">
        <f t="shared" si="589"/>
        <v>0.10349172066234701</v>
      </c>
      <c r="MD79" s="16">
        <f t="shared" si="589"/>
        <v>0.1069335839849609</v>
      </c>
      <c r="ME79" s="16">
        <f t="shared" si="589"/>
        <v>0.11028220564411288</v>
      </c>
      <c r="MF79" s="16">
        <f t="shared" si="589"/>
        <v>0.11713171317131713</v>
      </c>
      <c r="MG79" s="16">
        <f t="shared" si="589"/>
        <v>0.12460242843711868</v>
      </c>
      <c r="MH79" s="16">
        <f t="shared" si="589"/>
        <v>0.12869603488976913</v>
      </c>
      <c r="MI79" s="16">
        <f t="shared" si="589"/>
        <v>0.13285845772139743</v>
      </c>
      <c r="MJ79" s="16">
        <f t="shared" si="589"/>
        <v>0.13759631742219552</v>
      </c>
      <c r="MK79" s="16">
        <f t="shared" si="589"/>
        <v>0.14260831264515095</v>
      </c>
      <c r="ML79" s="16">
        <f t="shared" si="589"/>
        <v>0.14465459208206444</v>
      </c>
      <c r="MM79" s="16">
        <f t="shared" si="589"/>
        <v>0.14792163782559004</v>
      </c>
      <c r="MN79" s="16">
        <f t="shared" si="589"/>
        <v>0.1513344177360082</v>
      </c>
      <c r="MO79" s="16">
        <f t="shared" si="589"/>
        <v>0.15395301081113727</v>
      </c>
      <c r="MP79" s="16">
        <f t="shared" si="589"/>
        <v>0.16158659668954381</v>
      </c>
      <c r="MQ79" s="16">
        <f t="shared" si="589"/>
        <v>0.16734107554728281</v>
      </c>
      <c r="MR79" s="16">
        <f t="shared" si="589"/>
        <v>0.17138801581668864</v>
      </c>
      <c r="MS79" s="16">
        <f t="shared" si="589"/>
        <v>0.17483001506453319</v>
      </c>
      <c r="MT79" s="16">
        <f t="shared" si="589"/>
        <v>0.1802829664106102</v>
      </c>
      <c r="MU79" s="16">
        <f t="shared" si="589"/>
        <v>0.18503438103745559</v>
      </c>
      <c r="MV79" s="16">
        <f t="shared" si="589"/>
        <v>0.1913892606222817</v>
      </c>
      <c r="MW79" s="16">
        <f t="shared" si="589"/>
        <v>0.19898400118041357</v>
      </c>
      <c r="MX79" s="16">
        <f t="shared" si="589"/>
        <v>0.20585923392322236</v>
      </c>
      <c r="MY79" s="16">
        <f t="shared" si="589"/>
        <v>0.22134014203874955</v>
      </c>
      <c r="MZ79" s="16">
        <f t="shared" si="589"/>
        <v>0.23990822709465162</v>
      </c>
      <c r="NA79" s="16">
        <f t="shared" si="589"/>
        <v>0.24811651335961454</v>
      </c>
      <c r="NB79" s="16">
        <f t="shared" si="589"/>
        <v>0.2494597097869713</v>
      </c>
      <c r="NC79" s="16">
        <f t="shared" si="589"/>
        <v>0.25038310347125059</v>
      </c>
      <c r="ND79" s="16">
        <f t="shared" si="589"/>
        <v>0.2490092767720436</v>
      </c>
      <c r="NE79" s="16">
        <f t="shared" si="589"/>
        <v>0.2480117889221557</v>
      </c>
      <c r="NF79" s="16">
        <f t="shared" si="589"/>
        <v>0.22757095645412131</v>
      </c>
      <c r="NG79" s="16">
        <f t="shared" si="589"/>
        <v>0.24740256449242309</v>
      </c>
      <c r="NH79" s="16">
        <f t="shared" ref="NH79:NJ79" si="590">(NH72+NH74)/NH75</f>
        <v>0.24945930263227303</v>
      </c>
      <c r="NI79" s="16">
        <f t="shared" si="590"/>
        <v>0.23639243144119362</v>
      </c>
      <c r="NJ79" s="16">
        <f t="shared" si="590"/>
        <v>0.19585379159847244</v>
      </c>
      <c r="NK79" s="15"/>
      <c r="NL79" s="15"/>
      <c r="NM79" s="15"/>
      <c r="NN79" s="15"/>
      <c r="NO79" s="15"/>
      <c r="NP79" s="15"/>
      <c r="NQ79" s="15"/>
      <c r="NR79" s="15"/>
      <c r="NS79" s="15"/>
      <c r="NT79" s="15"/>
      <c r="NU79" s="15"/>
      <c r="NV79" s="15"/>
      <c r="NW79" s="15"/>
      <c r="NX79" s="15"/>
      <c r="NY79" s="15"/>
      <c r="NZ79" s="15"/>
      <c r="OA79" s="15"/>
      <c r="OB79" s="15"/>
      <c r="OC79" s="15"/>
      <c r="OD79" s="15"/>
      <c r="OE79" s="15"/>
      <c r="OF79" s="15"/>
      <c r="OG79" s="15"/>
    </row>
    <row r="80" spans="1:397">
      <c r="A80" s="13" t="s">
        <v>60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6">
        <f t="shared" ref="IK80" si="591">IK74/IK75</f>
        <v>7.6857369884783477E-2</v>
      </c>
      <c r="IL80" s="16">
        <f t="shared" ref="IL80" si="592">IL74/IL75</f>
        <v>7.6857369884783477E-2</v>
      </c>
      <c r="IM80" s="16">
        <f t="shared" ref="IM80:IN80" si="593">IM74/IM75</f>
        <v>7.6857369884783477E-2</v>
      </c>
      <c r="IN80" s="16">
        <f t="shared" si="593"/>
        <v>7.6857369884783477E-2</v>
      </c>
      <c r="IO80" s="16">
        <f t="shared" ref="IO80" si="594">IO74/IO75</f>
        <v>7.6857369884783477E-2</v>
      </c>
      <c r="IP80" s="16">
        <f t="shared" ref="IP80:IQ80" si="595">IP74/IP75</f>
        <v>7.6857369884783477E-2</v>
      </c>
      <c r="IQ80" s="16">
        <f t="shared" si="595"/>
        <v>7.6857369884783477E-2</v>
      </c>
      <c r="IR80" s="16">
        <f t="shared" ref="IR80" si="596">IR74/IR75</f>
        <v>7.6857369884783477E-2</v>
      </c>
      <c r="IS80" s="16">
        <f t="shared" ref="IS80:IT80" si="597">IS74/IS75</f>
        <v>7.6857369884783477E-2</v>
      </c>
      <c r="IT80" s="16">
        <f t="shared" si="597"/>
        <v>7.6857369884783477E-2</v>
      </c>
      <c r="IU80" s="16">
        <f t="shared" ref="IU80:IV80" si="598">IU74/IU75</f>
        <v>7.6857369884783477E-2</v>
      </c>
      <c r="IV80" s="16">
        <f t="shared" si="598"/>
        <v>7.6857369884783477E-2</v>
      </c>
      <c r="IW80" s="16">
        <f t="shared" ref="IW80" si="599">IW74/IW75</f>
        <v>7.6857369884783477E-2</v>
      </c>
      <c r="IX80" s="16">
        <f t="shared" ref="IX80" si="600">IX74/IX75</f>
        <v>7.6857369884783477E-2</v>
      </c>
      <c r="IY80" s="16">
        <f t="shared" ref="IY80:IZ80" si="601">IY74/IY75</f>
        <v>7.6857369884783477E-2</v>
      </c>
      <c r="IZ80" s="16">
        <f t="shared" si="601"/>
        <v>7.6857369884783477E-2</v>
      </c>
      <c r="JA80" s="16">
        <f t="shared" ref="JA80" si="602">JA74/JA75</f>
        <v>7.6857369884783477E-2</v>
      </c>
      <c r="JB80" s="16">
        <f t="shared" ref="JB80:JC80" si="603">JB74/JB75</f>
        <v>7.6857369884783477E-2</v>
      </c>
      <c r="JC80" s="16">
        <f t="shared" si="603"/>
        <v>7.6857369884783477E-2</v>
      </c>
      <c r="JD80" s="16">
        <f t="shared" ref="JD80" si="604">JD74/JD75</f>
        <v>7.6857369884783477E-2</v>
      </c>
      <c r="JE80" s="16">
        <f t="shared" ref="JE80" si="605">JE74/JE75</f>
        <v>7.6857369884783477E-2</v>
      </c>
      <c r="JF80" s="16">
        <f t="shared" ref="JF80" si="606">JF74/JF75</f>
        <v>7.6857369884783477E-2</v>
      </c>
      <c r="JG80" s="16">
        <f t="shared" ref="JG80" si="607">JG74/JG75</f>
        <v>7.6857369884783477E-2</v>
      </c>
      <c r="JH80" s="16">
        <f t="shared" ref="JH80:JI80" si="608">JH74/JH75</f>
        <v>7.6857369884783477E-2</v>
      </c>
      <c r="JI80" s="16">
        <f t="shared" si="608"/>
        <v>7.6857369884783477E-2</v>
      </c>
      <c r="JJ80" s="16">
        <f t="shared" ref="JJ80:JK80" si="609">JJ74/JJ75</f>
        <v>7.6857369884783477E-2</v>
      </c>
      <c r="JK80" s="16">
        <f t="shared" si="609"/>
        <v>7.6857369884783477E-2</v>
      </c>
      <c r="JL80" s="16">
        <f t="shared" ref="JL80:JM80" si="610">JL74/JL75</f>
        <v>7.6857369884783477E-2</v>
      </c>
      <c r="JM80" s="16">
        <f t="shared" si="610"/>
        <v>7.6857369884783477E-2</v>
      </c>
      <c r="JN80" s="16">
        <f t="shared" ref="JN80:JO80" si="611">JN74/JN75</f>
        <v>7.6857369884783477E-2</v>
      </c>
      <c r="JO80" s="16">
        <f t="shared" si="611"/>
        <v>7.6857369884783477E-2</v>
      </c>
      <c r="JP80" s="16">
        <f t="shared" ref="JP80:JQ80" si="612">JP74/JP75</f>
        <v>7.6857369884783477E-2</v>
      </c>
      <c r="JQ80" s="16">
        <f t="shared" si="612"/>
        <v>7.6857369884783477E-2</v>
      </c>
      <c r="JR80" s="16">
        <f t="shared" ref="JR80:JS80" si="613">JR74/JR75</f>
        <v>7.6857369884783477E-2</v>
      </c>
      <c r="JS80" s="16">
        <f t="shared" si="613"/>
        <v>7.6858896680506161E-2</v>
      </c>
      <c r="JT80" s="16">
        <f t="shared" ref="JT80" si="614">JT74/JT75</f>
        <v>7.6858896680506161E-2</v>
      </c>
      <c r="JU80" s="16">
        <f t="shared" ref="JU80:JV80" si="615">JU74/JU75</f>
        <v>7.6858896680506161E-2</v>
      </c>
      <c r="JV80" s="16">
        <f t="shared" si="615"/>
        <v>7.6858896680506161E-2</v>
      </c>
      <c r="JW80" s="16">
        <f t="shared" ref="JW80:JX80" si="616">JW74/JW75</f>
        <v>7.6858896680506161E-2</v>
      </c>
      <c r="JX80" s="16">
        <f t="shared" si="616"/>
        <v>7.6858896680506161E-2</v>
      </c>
      <c r="JY80" s="16">
        <f t="shared" ref="JY80:JZ80" si="617">JY74/JY75</f>
        <v>7.6858896680506161E-2</v>
      </c>
      <c r="JZ80" s="16">
        <f t="shared" si="617"/>
        <v>7.6858896680506161E-2</v>
      </c>
      <c r="KA80" s="16">
        <f t="shared" ref="KA80" si="618">KA74/KA75</f>
        <v>7.6866531569118296E-2</v>
      </c>
      <c r="KB80" s="16">
        <f t="shared" ref="KB80:KC80" si="619">KB74/KB75</f>
        <v>7.6868058728865749E-2</v>
      </c>
      <c r="KC80" s="16">
        <f t="shared" si="619"/>
        <v>7.6868058728865749E-2</v>
      </c>
      <c r="KD80" s="16">
        <f t="shared" ref="KD80:KE80" si="620">KD74/KD75</f>
        <v>7.6868058728865749E-2</v>
      </c>
      <c r="KE80" s="16">
        <f t="shared" si="620"/>
        <v>7.6868058728865749E-2</v>
      </c>
      <c r="KF80" s="16">
        <f t="shared" ref="KF80:KG80" si="621">KF74/KF75</f>
        <v>7.6868058728865749E-2</v>
      </c>
      <c r="KG80" s="16">
        <f t="shared" si="621"/>
        <v>7.6868058728865749E-2</v>
      </c>
      <c r="KH80" s="16">
        <f t="shared" ref="KH80:KI80" si="622">KH74/KH75</f>
        <v>7.6868058728865749E-2</v>
      </c>
      <c r="KI80" s="16">
        <f t="shared" si="622"/>
        <v>7.6868058728865749E-2</v>
      </c>
      <c r="KJ80" s="16">
        <f t="shared" ref="KJ80:KK80" si="623">KJ74/KJ75</f>
        <v>7.6868058728865749E-2</v>
      </c>
      <c r="KK80" s="16">
        <f t="shared" si="623"/>
        <v>7.6868058728865749E-2</v>
      </c>
      <c r="KL80" s="16">
        <f t="shared" ref="KL80:KM80" si="624">KL74/KL75</f>
        <v>7.6868058728865749E-2</v>
      </c>
      <c r="KM80" s="16">
        <f t="shared" si="624"/>
        <v>7.6868058728865749E-2</v>
      </c>
      <c r="KN80" s="16">
        <f t="shared" ref="KN80:KX80" si="625">KN74/KN75</f>
        <v>7.6868058728865749E-2</v>
      </c>
      <c r="KO80" s="16">
        <f t="shared" si="625"/>
        <v>7.6868058728865749E-2</v>
      </c>
      <c r="KP80" s="16">
        <f t="shared" si="625"/>
        <v>7.6868058728865749E-2</v>
      </c>
      <c r="KQ80" s="16">
        <f t="shared" si="625"/>
        <v>7.6868058728865749E-2</v>
      </c>
      <c r="KR80" s="16">
        <f t="shared" si="625"/>
        <v>7.6868058728865749E-2</v>
      </c>
      <c r="KS80" s="16">
        <f t="shared" si="625"/>
        <v>7.6868058728865749E-2</v>
      </c>
      <c r="KT80" s="16">
        <f t="shared" si="625"/>
        <v>7.6868058728865749E-2</v>
      </c>
      <c r="KU80" s="16">
        <f t="shared" si="625"/>
        <v>7.6868058728865749E-2</v>
      </c>
      <c r="KV80" s="16">
        <f t="shared" si="625"/>
        <v>7.6868058728865749E-2</v>
      </c>
      <c r="KW80" s="16">
        <f t="shared" si="625"/>
        <v>7.6868058728865749E-2</v>
      </c>
      <c r="KX80" s="16">
        <f t="shared" si="625"/>
        <v>7.6868058728865749E-2</v>
      </c>
      <c r="KY80" s="16">
        <f t="shared" ref="KY80:LC80" si="626">KY74/KY75</f>
        <v>5.1571748520236764E-2</v>
      </c>
      <c r="KZ80" s="16">
        <f t="shared" si="626"/>
        <v>5.1571748520236764E-2</v>
      </c>
      <c r="LA80" s="16">
        <f t="shared" si="626"/>
        <v>5.1571748520236764E-2</v>
      </c>
      <c r="LB80" s="16">
        <f t="shared" si="626"/>
        <v>5.1571748520236764E-2</v>
      </c>
      <c r="LC80" s="16">
        <f t="shared" si="626"/>
        <v>5.1531754919212927E-2</v>
      </c>
      <c r="LD80" s="16">
        <f t="shared" ref="LD80:LE80" si="627">LD74/LD75</f>
        <v>5.1531754919212927E-2</v>
      </c>
      <c r="LE80" s="16">
        <f t="shared" si="627"/>
        <v>5.149176131818909E-2</v>
      </c>
      <c r="LF80" s="16">
        <f>LF74/LF75</f>
        <v>5.1471764517677168E-2</v>
      </c>
      <c r="LG80" s="16">
        <f t="shared" ref="LG80:LK80" si="628">LG74/LG75</f>
        <v>5.1431770916653338E-2</v>
      </c>
      <c r="LH80" s="16">
        <f t="shared" si="628"/>
        <v>5.1411774116141416E-2</v>
      </c>
      <c r="LI80" s="16">
        <f t="shared" si="628"/>
        <v>5.1411774116141416E-2</v>
      </c>
      <c r="LJ80" s="16">
        <f t="shared" si="628"/>
        <v>5.1391777315629501E-2</v>
      </c>
      <c r="LK80" s="16">
        <f t="shared" si="628"/>
        <v>5.1331786914093742E-2</v>
      </c>
      <c r="LL80" s="16">
        <f t="shared" ref="LL80:MS80" si="629">LL74/LL75</f>
        <v>5.125282460455536E-2</v>
      </c>
      <c r="LM80" s="16">
        <f t="shared" si="629"/>
        <v>5.1172835802987579E-2</v>
      </c>
      <c r="LN80" s="16">
        <f t="shared" si="629"/>
        <v>5.1052852600635912E-2</v>
      </c>
      <c r="LO80" s="16">
        <f t="shared" si="629"/>
        <v>5.0953885533735949E-2</v>
      </c>
      <c r="LP80" s="16">
        <f t="shared" si="629"/>
        <v>5.093388793344799E-2</v>
      </c>
      <c r="LQ80" s="16">
        <f t="shared" si="629"/>
        <v>5.0853897532296126E-2</v>
      </c>
      <c r="LR80" s="16">
        <f t="shared" si="629"/>
        <v>5.0753909530856296E-2</v>
      </c>
      <c r="LS80" s="16">
        <f t="shared" si="629"/>
        <v>5.0693916729992398E-2</v>
      </c>
      <c r="LT80" s="16">
        <f t="shared" si="629"/>
        <v>5.0613926328840542E-2</v>
      </c>
      <c r="LU80" s="16">
        <f t="shared" si="629"/>
        <v>5.0513938327400712E-2</v>
      </c>
      <c r="LV80" s="16">
        <f t="shared" si="629"/>
        <v>5.047394312682478E-2</v>
      </c>
      <c r="LW80" s="16">
        <f t="shared" si="629"/>
        <v>5.0334966503349662E-2</v>
      </c>
      <c r="LX80" s="16">
        <f t="shared" si="629"/>
        <v>5.0154984501549843E-2</v>
      </c>
      <c r="LY80" s="16">
        <f t="shared" si="629"/>
        <v>5.0074992500749926E-2</v>
      </c>
      <c r="LZ80" s="16">
        <f t="shared" si="629"/>
        <v>4.9955004499550044E-2</v>
      </c>
      <c r="MA80" s="16">
        <f t="shared" si="629"/>
        <v>4.9915008499150086E-2</v>
      </c>
      <c r="MB80" s="16">
        <f t="shared" si="629"/>
        <v>4.9795020497950204E-2</v>
      </c>
      <c r="MC80" s="16">
        <f t="shared" si="629"/>
        <v>4.9596032317414607E-2</v>
      </c>
      <c r="MD80" s="16">
        <f t="shared" si="629"/>
        <v>4.9377037377757338E-2</v>
      </c>
      <c r="ME80" s="16">
        <f t="shared" si="629"/>
        <v>4.9120982419648393E-2</v>
      </c>
      <c r="MF80" s="16">
        <f t="shared" si="629"/>
        <v>4.8924892489248924E-2</v>
      </c>
      <c r="MG80" s="16">
        <f t="shared" si="629"/>
        <v>4.8728771178812184E-2</v>
      </c>
      <c r="MH80" s="16">
        <f t="shared" si="629"/>
        <v>4.8613611811307168E-2</v>
      </c>
      <c r="MI80" s="16">
        <f t="shared" si="629"/>
        <v>4.8481331785985834E-2</v>
      </c>
      <c r="MJ80" s="16">
        <f t="shared" si="629"/>
        <v>4.8113679575702992E-2</v>
      </c>
      <c r="MK80" s="16">
        <f t="shared" si="629"/>
        <v>4.7809722110995434E-2</v>
      </c>
      <c r="ML80" s="16">
        <f t="shared" si="629"/>
        <v>4.7483571085109796E-2</v>
      </c>
      <c r="MM80" s="16">
        <f t="shared" si="629"/>
        <v>4.710152192657055E-2</v>
      </c>
      <c r="MN80" s="16">
        <f t="shared" si="629"/>
        <v>4.6749804205072597E-2</v>
      </c>
      <c r="MO80" s="16">
        <f t="shared" si="629"/>
        <v>4.6405347184473839E-2</v>
      </c>
      <c r="MP80" s="16">
        <f t="shared" si="629"/>
        <v>4.6063786838918049E-2</v>
      </c>
      <c r="MQ80" s="16">
        <f t="shared" si="629"/>
        <v>4.5542831708007929E-2</v>
      </c>
      <c r="MR80" s="16">
        <f t="shared" si="629"/>
        <v>4.5158673831491435E-2</v>
      </c>
      <c r="MS80" s="16">
        <f t="shared" si="629"/>
        <v>4.4684662676601115E-2</v>
      </c>
      <c r="MT80" s="16">
        <f t="shared" ref="MT80:NG80" si="630">MT74/MT75</f>
        <v>4.4669151718598761E-2</v>
      </c>
      <c r="MU80" s="16">
        <f t="shared" si="630"/>
        <v>4.4290254897480112E-2</v>
      </c>
      <c r="MV80" s="16">
        <f t="shared" si="630"/>
        <v>4.3994647039143527E-2</v>
      </c>
      <c r="MW80" s="16">
        <f t="shared" si="630"/>
        <v>4.3949326531902783E-2</v>
      </c>
      <c r="MX80" s="16">
        <f t="shared" si="630"/>
        <v>4.3402519598054003E-2</v>
      </c>
      <c r="MY80" s="16">
        <f t="shared" si="630"/>
        <v>4.263308086768082E-2</v>
      </c>
      <c r="MZ80" s="16">
        <f t="shared" si="630"/>
        <v>4.0172290643059674E-2</v>
      </c>
      <c r="NA80" s="16">
        <f t="shared" si="630"/>
        <v>3.8852387209811649E-2</v>
      </c>
      <c r="NB80" s="16">
        <f t="shared" si="630"/>
        <v>3.7136682397565388E-2</v>
      </c>
      <c r="NC80" s="16">
        <f t="shared" si="630"/>
        <v>3.5201101561285454E-2</v>
      </c>
      <c r="ND80" s="16">
        <f t="shared" si="630"/>
        <v>3.3707106187516885E-2</v>
      </c>
      <c r="NE80" s="16">
        <f t="shared" si="630"/>
        <v>3.2302582335329344E-2</v>
      </c>
      <c r="NF80" s="16">
        <f t="shared" si="630"/>
        <v>3.1808903576982892E-2</v>
      </c>
      <c r="NG80" s="16">
        <f t="shared" si="630"/>
        <v>3.1245248593583699E-2</v>
      </c>
      <c r="NH80" s="16">
        <f t="shared" ref="NH80:NJ80" si="631">NH74/NH75</f>
        <v>2.961966555889645E-2</v>
      </c>
      <c r="NI80" s="16">
        <f t="shared" si="631"/>
        <v>2.8229279542107751E-2</v>
      </c>
      <c r="NJ80" s="16">
        <f t="shared" si="631"/>
        <v>3.1399648420925019E-2</v>
      </c>
      <c r="NK80" s="15"/>
      <c r="NL80" s="15"/>
      <c r="NM80" s="15"/>
      <c r="NN80" s="15"/>
      <c r="NO80" s="15"/>
      <c r="NP80" s="15"/>
      <c r="NQ80" s="15"/>
      <c r="NR80" s="15"/>
      <c r="NS80" s="15"/>
      <c r="NT80" s="15"/>
      <c r="NU80" s="15"/>
      <c r="NV80" s="15"/>
      <c r="NW80" s="15"/>
      <c r="NX80" s="15"/>
      <c r="NY80" s="15"/>
      <c r="NZ80" s="15"/>
      <c r="OA80" s="15"/>
      <c r="OB80" s="15"/>
      <c r="OC80" s="15"/>
      <c r="OD80" s="15"/>
      <c r="OE80" s="15"/>
      <c r="OF80" s="15"/>
      <c r="OG80" s="15"/>
    </row>
    <row r="83" spans="1:367" ht="16.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  <c r="EW83" s="17"/>
      <c r="EX83" s="17"/>
      <c r="EY83" s="17"/>
      <c r="EZ83" s="17"/>
      <c r="FA83" s="17"/>
      <c r="FB83" s="17"/>
      <c r="FC83" s="17"/>
      <c r="FD83" s="17"/>
      <c r="FE83" s="17"/>
      <c r="FF83" s="17"/>
      <c r="FG83" s="17"/>
      <c r="FH83" s="17"/>
      <c r="FI83" s="17"/>
      <c r="FJ83" s="17"/>
      <c r="FK83" s="17"/>
      <c r="FL83" s="17"/>
      <c r="FM83" s="17"/>
      <c r="FN83" s="17"/>
      <c r="FO83" s="17"/>
      <c r="FP83" s="17"/>
      <c r="FQ83" s="17"/>
      <c r="FR83" s="17"/>
      <c r="FS83" s="17"/>
      <c r="FT83" s="17"/>
      <c r="FU83" s="17"/>
      <c r="FV83" s="17"/>
      <c r="FW83" s="17"/>
      <c r="FX83" s="17"/>
      <c r="FY83" s="17"/>
      <c r="FZ83" s="17"/>
      <c r="GA83" s="17"/>
      <c r="GB83" s="17"/>
      <c r="GC83" s="17"/>
      <c r="GD83" s="17"/>
      <c r="GE83" s="17"/>
      <c r="GF83" s="17"/>
      <c r="GG83" s="17"/>
      <c r="GH83" s="17"/>
      <c r="GI83" s="17"/>
      <c r="GJ83" s="17"/>
      <c r="GK83" s="17"/>
      <c r="GL83" s="17"/>
      <c r="GM83" s="17"/>
      <c r="GN83" s="17"/>
      <c r="GO83" s="17"/>
      <c r="GP83" s="17"/>
      <c r="GQ83" s="17"/>
      <c r="GR83" s="17"/>
      <c r="GS83" s="17"/>
      <c r="GT83" s="17"/>
      <c r="GU83" s="17"/>
      <c r="GV83" s="17"/>
      <c r="GW83" s="17"/>
      <c r="GX83" s="17"/>
      <c r="GY83" s="17"/>
      <c r="GZ83" s="17"/>
      <c r="HA83" s="17"/>
      <c r="HB83" s="17"/>
      <c r="HC83" s="17"/>
      <c r="HD83" s="17"/>
      <c r="HE83" s="17"/>
      <c r="HF83" s="17"/>
      <c r="HG83" s="17"/>
      <c r="HH83" s="17"/>
      <c r="HI83" s="17"/>
      <c r="HJ83" s="17"/>
      <c r="HK83" s="17"/>
      <c r="HL83" s="17"/>
      <c r="HM83" s="17"/>
      <c r="HN83" s="17"/>
      <c r="HO83" s="17"/>
      <c r="HP83" s="17"/>
      <c r="HQ83" s="17"/>
      <c r="HR83" s="17"/>
      <c r="HS83" s="17"/>
      <c r="HT83" s="17"/>
      <c r="HU83" s="17"/>
      <c r="HV83" s="17"/>
      <c r="HW83" s="17"/>
      <c r="HX83" s="17"/>
      <c r="HY83" s="17"/>
      <c r="HZ83" s="17"/>
      <c r="IA83" s="17"/>
      <c r="IB83" s="17"/>
      <c r="IC83" s="17"/>
      <c r="ID83" s="17"/>
      <c r="IE83" s="17"/>
      <c r="IF83" s="17"/>
      <c r="IG83" s="17"/>
      <c r="IH83" s="17"/>
      <c r="II83" s="17"/>
      <c r="IJ83" s="17"/>
      <c r="IK83" s="17"/>
      <c r="IL83" s="17"/>
      <c r="IM83" s="17"/>
      <c r="IN83" s="17"/>
      <c r="IO83" s="17"/>
      <c r="IP83" s="17"/>
      <c r="IQ83" s="17"/>
      <c r="IR83" s="17"/>
      <c r="IS83" s="17"/>
      <c r="IT83" s="17"/>
      <c r="IU83" s="17"/>
      <c r="IV83" s="17"/>
      <c r="IW83" s="17"/>
      <c r="IX83" s="17"/>
      <c r="IY83" s="17"/>
      <c r="IZ83" s="17"/>
      <c r="JA83" s="17"/>
      <c r="JB83" s="17"/>
      <c r="JC83" s="17"/>
      <c r="JD83" s="17"/>
      <c r="JE83" s="17"/>
      <c r="JF83" s="17"/>
      <c r="JG83" s="17"/>
      <c r="JH83" s="17"/>
      <c r="JI83" s="17"/>
      <c r="JJ83" s="17"/>
      <c r="JK83" s="17"/>
      <c r="JL83" s="17"/>
      <c r="JM83" s="17"/>
      <c r="JN83" s="17"/>
      <c r="JO83" s="17"/>
      <c r="JP83" s="17"/>
      <c r="JQ83" s="17"/>
      <c r="JR83" s="17"/>
      <c r="JS83" s="17"/>
      <c r="JT83" s="17"/>
      <c r="JU83" s="17"/>
      <c r="JV83" s="17"/>
      <c r="JW83" s="17"/>
      <c r="JX83" s="17"/>
      <c r="JY83" s="17"/>
      <c r="JZ83" s="17"/>
      <c r="KA83" s="17"/>
      <c r="KB83" s="17"/>
      <c r="KC83" s="17"/>
      <c r="KD83" s="17"/>
      <c r="KE83" s="17"/>
      <c r="KF83" s="17"/>
      <c r="KG83" s="17"/>
      <c r="KH83" s="17"/>
      <c r="KI83" s="17"/>
      <c r="KJ83" s="17"/>
      <c r="KK83" s="17"/>
      <c r="KL83" s="17"/>
      <c r="KM83" s="17"/>
      <c r="KN83" s="17"/>
      <c r="KO83" s="17"/>
      <c r="KP83" s="17"/>
      <c r="KQ83" s="17"/>
      <c r="KR83" s="17"/>
      <c r="KS83" s="17"/>
      <c r="KT83" s="17"/>
      <c r="KU83" s="17"/>
      <c r="KV83" s="17"/>
      <c r="KW83" s="17"/>
      <c r="KX83" s="17"/>
      <c r="KY83" s="17"/>
      <c r="KZ83" s="17"/>
      <c r="LA83" s="17"/>
      <c r="LB83" s="17"/>
      <c r="LC83" s="17"/>
      <c r="LD83" s="17"/>
      <c r="LE83" s="17"/>
      <c r="LF83" s="17"/>
      <c r="LG83" s="17"/>
      <c r="LH83" s="17"/>
      <c r="LI83" s="17"/>
      <c r="LJ83" s="17"/>
      <c r="LK83" s="17"/>
      <c r="LL83" s="17"/>
      <c r="LM83" s="17"/>
      <c r="LN83" s="17"/>
      <c r="LO83" s="17"/>
      <c r="LP83" s="17"/>
      <c r="LQ83" s="17"/>
      <c r="LR83" s="17"/>
      <c r="LS83" s="17"/>
      <c r="LT83" s="17"/>
      <c r="LU83" s="17"/>
      <c r="LV83" s="17"/>
      <c r="LW83" s="17"/>
      <c r="LX83" s="17"/>
      <c r="LY83" s="17"/>
      <c r="LZ83" s="17"/>
      <c r="MA83" s="17"/>
      <c r="MB83" s="17"/>
      <c r="MC83" s="17"/>
      <c r="MD83" s="17"/>
      <c r="ME83" s="17"/>
      <c r="MF83" s="17"/>
      <c r="MG83" s="17"/>
      <c r="MH83" s="17"/>
      <c r="MI83" s="17"/>
      <c r="MJ83" s="17"/>
      <c r="MK83" s="17"/>
      <c r="ML83" s="17"/>
      <c r="MM83" s="17"/>
      <c r="MN83" s="17"/>
      <c r="MO83" s="17"/>
      <c r="MP83" s="17"/>
      <c r="MQ83" s="17"/>
      <c r="MR83" s="17"/>
      <c r="MS83" s="17"/>
      <c r="MT83" s="17"/>
      <c r="MU83" s="17"/>
      <c r="MV83" s="17"/>
      <c r="MW83" s="17"/>
      <c r="MX83" s="17"/>
      <c r="MY83" s="17"/>
      <c r="MZ83" s="17"/>
      <c r="NA83" s="17"/>
      <c r="NB83" s="17"/>
    </row>
    <row r="84" spans="1:367">
      <c r="NC84" s="15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E22"/>
  <sheetViews>
    <sheetView tabSelected="1" zoomScale="85" zoomScaleNormal="85" workbookViewId="0">
      <selection activeCell="B20" sqref="B20"/>
    </sheetView>
  </sheetViews>
  <sheetFormatPr defaultRowHeight="14.25"/>
  <cols>
    <col min="1" max="353" width="15" customWidth="1"/>
    <col min="354" max="354" width="12.625" customWidth="1"/>
    <col min="355" max="355" width="15.375" customWidth="1"/>
    <col min="356" max="357" width="19.5" customWidth="1"/>
    <col min="358" max="358" width="14.25" customWidth="1"/>
    <col min="359" max="359" width="12.5" customWidth="1"/>
    <col min="360" max="364" width="10.5" bestFit="1" customWidth="1"/>
    <col min="365" max="365" width="10.875" customWidth="1"/>
    <col min="366" max="371" width="10.5" bestFit="1" customWidth="1"/>
    <col min="372" max="372" width="9.75" customWidth="1"/>
    <col min="373" max="373" width="10.25" customWidth="1"/>
    <col min="392" max="392" width="11.125" customWidth="1"/>
  </cols>
  <sheetData>
    <row r="1" spans="1:395">
      <c r="A1" s="1" t="s">
        <v>31</v>
      </c>
      <c r="B1" s="14">
        <v>44245</v>
      </c>
      <c r="C1" s="14">
        <v>44244</v>
      </c>
      <c r="D1" s="14">
        <v>44243</v>
      </c>
      <c r="E1" s="14">
        <v>44242</v>
      </c>
      <c r="F1" s="14">
        <v>44241</v>
      </c>
      <c r="G1" s="14">
        <v>44240</v>
      </c>
      <c r="H1" s="14">
        <v>44239</v>
      </c>
      <c r="I1" s="14">
        <v>44238</v>
      </c>
      <c r="J1" s="14">
        <v>44237</v>
      </c>
      <c r="K1" s="14">
        <v>44236</v>
      </c>
      <c r="L1" s="14">
        <v>44235</v>
      </c>
      <c r="M1" s="14">
        <v>44234</v>
      </c>
      <c r="N1" s="14">
        <v>44233</v>
      </c>
      <c r="O1" s="14">
        <v>44232</v>
      </c>
      <c r="P1" s="14">
        <v>44231</v>
      </c>
      <c r="Q1" s="14">
        <v>44230</v>
      </c>
      <c r="R1" s="14">
        <v>44229</v>
      </c>
      <c r="S1" s="14">
        <v>44228</v>
      </c>
      <c r="T1" s="14">
        <v>44227</v>
      </c>
      <c r="U1" s="14">
        <v>44226</v>
      </c>
      <c r="V1" s="14">
        <v>44225</v>
      </c>
      <c r="W1" s="14">
        <v>44224</v>
      </c>
      <c r="X1" s="14">
        <v>44223</v>
      </c>
      <c r="Y1" s="14">
        <v>44222</v>
      </c>
      <c r="Z1" s="14">
        <v>44221</v>
      </c>
      <c r="AA1" s="14">
        <v>44220</v>
      </c>
      <c r="AB1" s="14">
        <v>44219</v>
      </c>
      <c r="AC1" s="14">
        <v>44218</v>
      </c>
      <c r="AD1" s="14">
        <v>44217</v>
      </c>
      <c r="AE1" s="14">
        <v>44216</v>
      </c>
      <c r="AF1" s="14">
        <v>44215</v>
      </c>
      <c r="AG1" s="14">
        <v>44214</v>
      </c>
      <c r="AH1" s="14">
        <v>44213</v>
      </c>
      <c r="AI1" s="14">
        <v>44212</v>
      </c>
      <c r="AJ1" s="14">
        <v>44211</v>
      </c>
      <c r="AK1" s="14">
        <v>44210</v>
      </c>
      <c r="AL1" s="14">
        <v>44209</v>
      </c>
      <c r="AM1" s="14">
        <v>44208</v>
      </c>
      <c r="AN1" s="14">
        <v>44207</v>
      </c>
      <c r="AO1" s="14">
        <v>44206</v>
      </c>
      <c r="AP1" s="14">
        <v>44205</v>
      </c>
      <c r="AQ1" s="14">
        <v>44204</v>
      </c>
      <c r="AR1" s="14">
        <v>44203</v>
      </c>
      <c r="AS1" s="14">
        <v>44202</v>
      </c>
      <c r="AT1" s="14">
        <v>44201</v>
      </c>
      <c r="AU1" s="14">
        <v>44200</v>
      </c>
      <c r="AV1" s="14">
        <v>44199</v>
      </c>
      <c r="AW1" s="14">
        <v>44198</v>
      </c>
      <c r="AX1" s="14">
        <v>44197</v>
      </c>
      <c r="AY1" s="14">
        <v>44196</v>
      </c>
      <c r="AZ1" s="14">
        <v>44195</v>
      </c>
      <c r="BA1" s="14">
        <v>44194</v>
      </c>
      <c r="BB1" s="14">
        <v>44193</v>
      </c>
      <c r="BC1" s="14">
        <v>44192</v>
      </c>
      <c r="BD1" s="14">
        <v>44191</v>
      </c>
      <c r="BE1" s="14">
        <v>44190</v>
      </c>
      <c r="BF1" s="14">
        <v>44189</v>
      </c>
      <c r="BG1" s="14">
        <v>44188</v>
      </c>
      <c r="BH1" s="14">
        <v>44187</v>
      </c>
      <c r="BI1" s="14">
        <v>44186</v>
      </c>
      <c r="BJ1" s="14">
        <v>44185</v>
      </c>
      <c r="BK1" s="14">
        <v>44184</v>
      </c>
      <c r="BL1" s="14">
        <v>44183</v>
      </c>
      <c r="BM1" s="14">
        <v>44182</v>
      </c>
      <c r="BN1" s="14">
        <v>44181</v>
      </c>
      <c r="BO1" s="14">
        <v>44180</v>
      </c>
      <c r="BP1" s="14">
        <v>44179</v>
      </c>
      <c r="BQ1" s="14">
        <v>44178</v>
      </c>
      <c r="BR1" s="14">
        <v>44177</v>
      </c>
      <c r="BS1" s="14">
        <v>44176</v>
      </c>
      <c r="BT1" s="14">
        <v>44175</v>
      </c>
      <c r="BU1" s="14">
        <v>44174</v>
      </c>
      <c r="BV1" s="14">
        <v>44173</v>
      </c>
      <c r="BW1" s="14">
        <v>44172</v>
      </c>
      <c r="BX1" s="14">
        <v>44171</v>
      </c>
      <c r="BY1" s="14">
        <v>44170</v>
      </c>
      <c r="BZ1" s="14">
        <v>44169</v>
      </c>
      <c r="CA1" s="14">
        <v>44168</v>
      </c>
      <c r="CB1" s="14">
        <v>44167</v>
      </c>
      <c r="CC1" s="14">
        <v>44166</v>
      </c>
      <c r="CD1" s="14">
        <v>44165</v>
      </c>
      <c r="CE1" s="14">
        <v>44164</v>
      </c>
      <c r="CF1" s="14">
        <v>44163</v>
      </c>
      <c r="CG1" s="14">
        <v>44162</v>
      </c>
      <c r="CH1" s="14">
        <v>44161</v>
      </c>
      <c r="CI1" s="14">
        <v>44160</v>
      </c>
      <c r="CJ1" s="14">
        <v>44159</v>
      </c>
      <c r="CK1" s="14">
        <v>44158</v>
      </c>
      <c r="CL1" s="14">
        <v>44157</v>
      </c>
      <c r="CM1" s="14">
        <v>44156</v>
      </c>
      <c r="CN1" s="14">
        <v>44155</v>
      </c>
      <c r="CO1" s="14">
        <v>44154</v>
      </c>
      <c r="CP1" s="14">
        <v>44153</v>
      </c>
      <c r="CQ1" s="14">
        <v>44152</v>
      </c>
      <c r="CR1" s="14">
        <v>44151</v>
      </c>
      <c r="CS1" s="14">
        <v>44150</v>
      </c>
      <c r="CT1" s="14">
        <v>44149</v>
      </c>
      <c r="CU1" s="14">
        <v>44148</v>
      </c>
      <c r="CV1" s="14">
        <v>44147</v>
      </c>
      <c r="CW1" s="14">
        <v>44146</v>
      </c>
      <c r="CX1" s="14">
        <v>44145</v>
      </c>
      <c r="CY1" s="14">
        <v>44144</v>
      </c>
      <c r="CZ1" s="14">
        <v>44143</v>
      </c>
      <c r="DA1" s="14">
        <v>44142</v>
      </c>
      <c r="DB1" s="14">
        <v>44141</v>
      </c>
      <c r="DC1" s="14">
        <v>44140</v>
      </c>
      <c r="DD1" s="14">
        <v>44139</v>
      </c>
      <c r="DE1" s="14">
        <v>44138</v>
      </c>
      <c r="DF1" s="14">
        <v>44137</v>
      </c>
      <c r="DG1" s="14">
        <v>44136</v>
      </c>
      <c r="DH1" s="14">
        <v>44135</v>
      </c>
      <c r="DI1" s="14">
        <v>44134</v>
      </c>
      <c r="DJ1" s="14">
        <v>44133</v>
      </c>
      <c r="DK1" s="14">
        <v>44132</v>
      </c>
      <c r="DL1" s="14">
        <v>44131</v>
      </c>
      <c r="DM1" s="14">
        <v>44130</v>
      </c>
      <c r="DN1" s="14">
        <v>44129</v>
      </c>
      <c r="DO1" s="14">
        <v>44128</v>
      </c>
      <c r="DP1" s="14">
        <v>44127</v>
      </c>
      <c r="DQ1" s="14">
        <v>44126</v>
      </c>
      <c r="DR1" s="14">
        <v>44125</v>
      </c>
      <c r="DS1" s="14">
        <v>44124</v>
      </c>
      <c r="DT1" s="14">
        <v>44123</v>
      </c>
      <c r="DU1" s="14">
        <v>44122</v>
      </c>
      <c r="DV1" s="14">
        <v>44121</v>
      </c>
      <c r="DW1" s="14">
        <v>44120</v>
      </c>
      <c r="DX1" s="14">
        <v>44119</v>
      </c>
      <c r="DY1" s="14">
        <v>44118</v>
      </c>
      <c r="DZ1" s="14">
        <v>44117</v>
      </c>
      <c r="EA1" s="14">
        <v>44116</v>
      </c>
      <c r="EB1" s="14">
        <v>44115</v>
      </c>
      <c r="EC1" s="14">
        <v>44114</v>
      </c>
      <c r="ED1" s="14">
        <v>44113</v>
      </c>
      <c r="EE1" s="14">
        <v>44112</v>
      </c>
      <c r="EF1" s="14">
        <v>44111</v>
      </c>
      <c r="EG1" s="14">
        <v>44110</v>
      </c>
      <c r="EH1" s="14">
        <v>44109</v>
      </c>
      <c r="EI1" s="14">
        <v>44108</v>
      </c>
      <c r="EJ1" s="14">
        <v>44107</v>
      </c>
      <c r="EK1" s="14">
        <v>44106</v>
      </c>
      <c r="EL1" s="14">
        <v>44105</v>
      </c>
      <c r="EM1" s="14">
        <v>44104</v>
      </c>
      <c r="EN1" s="14">
        <v>44103</v>
      </c>
      <c r="EO1" s="14">
        <v>44102</v>
      </c>
      <c r="EP1" s="14">
        <v>44101</v>
      </c>
      <c r="EQ1" s="14">
        <v>44100</v>
      </c>
      <c r="ER1" s="14">
        <v>44099</v>
      </c>
      <c r="ES1" s="14">
        <v>44098</v>
      </c>
      <c r="ET1" s="14">
        <v>44097</v>
      </c>
      <c r="EU1" s="14">
        <v>44096</v>
      </c>
      <c r="EV1" s="14">
        <v>44095</v>
      </c>
      <c r="EW1" s="14">
        <v>44094</v>
      </c>
      <c r="EX1" s="14">
        <v>44093</v>
      </c>
      <c r="EY1" s="14">
        <v>44092</v>
      </c>
      <c r="EZ1" s="14">
        <v>44091</v>
      </c>
      <c r="FA1" s="14">
        <v>44090</v>
      </c>
      <c r="FB1" s="14">
        <v>44089</v>
      </c>
      <c r="FC1" s="14">
        <v>44088</v>
      </c>
      <c r="FD1" s="14">
        <v>44087</v>
      </c>
      <c r="FE1" s="14">
        <v>44086</v>
      </c>
      <c r="FF1" s="14">
        <v>44085</v>
      </c>
      <c r="FG1" s="14">
        <v>44084</v>
      </c>
      <c r="FH1" s="14">
        <v>44083</v>
      </c>
      <c r="FI1" s="14">
        <v>44082</v>
      </c>
      <c r="FJ1" s="14">
        <v>44081</v>
      </c>
      <c r="FK1" s="14">
        <v>44080</v>
      </c>
      <c r="FL1" s="14">
        <v>44079</v>
      </c>
      <c r="FM1" s="14">
        <v>44078</v>
      </c>
      <c r="FN1" s="14">
        <v>44077</v>
      </c>
      <c r="FO1" s="14">
        <v>44076</v>
      </c>
      <c r="FP1" s="14">
        <v>44075</v>
      </c>
      <c r="FQ1" s="14">
        <v>44074</v>
      </c>
      <c r="FR1" s="14">
        <v>44073</v>
      </c>
      <c r="FS1" s="14">
        <v>44072</v>
      </c>
      <c r="FT1" s="14">
        <v>44071</v>
      </c>
      <c r="FU1" s="14">
        <v>44070</v>
      </c>
      <c r="FV1" s="14">
        <v>44069</v>
      </c>
      <c r="FW1" s="14">
        <v>44068</v>
      </c>
      <c r="FX1" s="14">
        <v>44067</v>
      </c>
      <c r="FY1" s="14">
        <v>44066</v>
      </c>
      <c r="FZ1" s="14">
        <v>44065</v>
      </c>
      <c r="GA1" s="14">
        <v>44064</v>
      </c>
      <c r="GB1" s="14">
        <v>44063</v>
      </c>
      <c r="GC1" s="14">
        <v>44062</v>
      </c>
      <c r="GD1" s="14">
        <v>44061</v>
      </c>
      <c r="GE1" s="14">
        <v>44060</v>
      </c>
      <c r="GF1" s="14">
        <v>44059</v>
      </c>
      <c r="GG1" s="14">
        <v>44058</v>
      </c>
      <c r="GH1" s="14">
        <v>44057</v>
      </c>
      <c r="GI1" s="14">
        <v>44056</v>
      </c>
      <c r="GJ1" s="14">
        <v>44055</v>
      </c>
      <c r="GK1" s="14">
        <v>44054</v>
      </c>
      <c r="GL1" s="14">
        <v>44053</v>
      </c>
      <c r="GM1" s="14">
        <v>44052</v>
      </c>
      <c r="GN1" s="14">
        <v>44051</v>
      </c>
      <c r="GO1" s="14">
        <v>44050</v>
      </c>
      <c r="GP1" s="14">
        <v>44049</v>
      </c>
      <c r="GQ1" s="14">
        <v>44048</v>
      </c>
      <c r="GR1" s="14">
        <v>44047</v>
      </c>
      <c r="GS1" s="14">
        <v>44046</v>
      </c>
      <c r="GT1" s="14">
        <v>44045</v>
      </c>
      <c r="GU1" s="14">
        <v>44044</v>
      </c>
      <c r="GV1" s="14">
        <v>44043</v>
      </c>
      <c r="GW1" s="14">
        <v>44042</v>
      </c>
      <c r="GX1" s="14">
        <v>44041</v>
      </c>
      <c r="GY1" s="14">
        <v>44040</v>
      </c>
      <c r="GZ1" s="14">
        <v>44039</v>
      </c>
      <c r="HA1" s="14">
        <v>44038</v>
      </c>
      <c r="HB1" s="14">
        <v>44037</v>
      </c>
      <c r="HC1" s="14">
        <v>44036</v>
      </c>
      <c r="HD1" s="14">
        <v>44035</v>
      </c>
      <c r="HE1" s="14">
        <v>44034</v>
      </c>
      <c r="HF1" s="14">
        <v>44033</v>
      </c>
      <c r="HG1" s="14">
        <v>44032</v>
      </c>
      <c r="HH1" s="14">
        <v>44031</v>
      </c>
      <c r="HI1" s="14">
        <v>44030</v>
      </c>
      <c r="HJ1" s="14">
        <v>44029</v>
      </c>
      <c r="HK1" s="14">
        <v>44028</v>
      </c>
      <c r="HL1" s="14">
        <v>44027</v>
      </c>
      <c r="HM1" s="14">
        <v>44026</v>
      </c>
      <c r="HN1" s="14">
        <v>44025</v>
      </c>
      <c r="HO1" s="14">
        <v>44024</v>
      </c>
      <c r="HP1" s="14">
        <v>44023</v>
      </c>
      <c r="HQ1" s="14">
        <v>44022</v>
      </c>
      <c r="HR1" s="14">
        <v>44021</v>
      </c>
      <c r="HS1" s="14">
        <v>44020</v>
      </c>
      <c r="HT1" s="14">
        <v>44019</v>
      </c>
      <c r="HU1" s="14">
        <v>44018</v>
      </c>
      <c r="HV1" s="14">
        <v>44017</v>
      </c>
      <c r="HW1" s="14">
        <v>44016</v>
      </c>
      <c r="HX1" s="14">
        <v>44015</v>
      </c>
      <c r="HY1" s="14">
        <v>44014</v>
      </c>
      <c r="HZ1" s="14">
        <v>44013</v>
      </c>
      <c r="IA1" s="14">
        <v>44012</v>
      </c>
      <c r="IB1" s="14">
        <v>44011</v>
      </c>
      <c r="IC1" s="14">
        <v>44010</v>
      </c>
      <c r="ID1" s="14">
        <v>44009</v>
      </c>
      <c r="IE1" s="14">
        <v>44008</v>
      </c>
      <c r="IF1" s="14">
        <v>44007</v>
      </c>
      <c r="IG1" s="14">
        <v>44006</v>
      </c>
      <c r="IH1" s="14">
        <v>44005</v>
      </c>
      <c r="II1" s="14">
        <v>44004</v>
      </c>
      <c r="IJ1" s="14">
        <v>44003</v>
      </c>
      <c r="IK1" s="14">
        <v>44002</v>
      </c>
      <c r="IL1" s="14">
        <v>44001</v>
      </c>
      <c r="IM1" s="14">
        <v>44000</v>
      </c>
      <c r="IN1" s="14">
        <v>43999</v>
      </c>
      <c r="IO1" s="14">
        <v>43998</v>
      </c>
      <c r="IP1" s="14">
        <v>43997</v>
      </c>
      <c r="IQ1" s="14">
        <v>43996</v>
      </c>
      <c r="IR1" s="14">
        <v>43995</v>
      </c>
      <c r="IS1" s="14">
        <v>43994</v>
      </c>
      <c r="IT1" s="14">
        <v>43993</v>
      </c>
      <c r="IU1" s="14">
        <v>43992</v>
      </c>
      <c r="IV1" s="14">
        <v>43991</v>
      </c>
      <c r="IW1" s="14">
        <v>43990</v>
      </c>
      <c r="IX1" s="14">
        <v>43989</v>
      </c>
      <c r="IY1" s="14">
        <v>43988</v>
      </c>
      <c r="IZ1" s="14">
        <v>43987</v>
      </c>
      <c r="JA1" s="14">
        <v>43986</v>
      </c>
      <c r="JB1" s="14">
        <v>43985</v>
      </c>
      <c r="JC1" s="14">
        <v>43984</v>
      </c>
      <c r="JD1" s="14">
        <v>43983</v>
      </c>
      <c r="JE1" s="14">
        <v>43982</v>
      </c>
      <c r="JF1" s="14">
        <v>43981</v>
      </c>
      <c r="JG1" s="14">
        <v>43980</v>
      </c>
      <c r="JH1" s="14">
        <v>43979</v>
      </c>
      <c r="JI1" s="14">
        <v>43978</v>
      </c>
      <c r="JJ1" s="14">
        <v>43977</v>
      </c>
      <c r="JK1" s="14">
        <v>43976</v>
      </c>
      <c r="JL1" s="14">
        <v>43975</v>
      </c>
      <c r="JM1" s="14">
        <v>43974</v>
      </c>
      <c r="JN1" s="14">
        <v>43973</v>
      </c>
      <c r="JO1" s="14">
        <v>43972</v>
      </c>
      <c r="JP1" s="14">
        <v>43971</v>
      </c>
      <c r="JQ1" s="14">
        <v>43970</v>
      </c>
      <c r="JR1" s="14">
        <v>43969</v>
      </c>
      <c r="JS1" s="14">
        <v>43968</v>
      </c>
      <c r="JT1" s="14">
        <v>43967</v>
      </c>
      <c r="JU1" s="14">
        <v>43966</v>
      </c>
      <c r="JV1" s="14">
        <v>43965</v>
      </c>
      <c r="JW1" s="14">
        <v>43964</v>
      </c>
      <c r="JX1" s="14">
        <v>43963</v>
      </c>
      <c r="JY1" s="14">
        <v>43962</v>
      </c>
      <c r="JZ1" s="14">
        <v>43961</v>
      </c>
      <c r="KA1" s="14">
        <v>43960</v>
      </c>
      <c r="KB1" s="14">
        <v>43959</v>
      </c>
      <c r="KC1" s="14">
        <v>43958</v>
      </c>
      <c r="KD1" s="14">
        <v>43957</v>
      </c>
      <c r="KE1" s="14">
        <v>43956</v>
      </c>
      <c r="KF1" s="14">
        <v>43955</v>
      </c>
      <c r="KG1" s="14">
        <v>43954</v>
      </c>
      <c r="KH1" s="14">
        <v>43953</v>
      </c>
      <c r="KI1" s="14">
        <v>43952</v>
      </c>
      <c r="KJ1" s="14">
        <v>43951</v>
      </c>
      <c r="KK1" s="14">
        <v>43950</v>
      </c>
      <c r="KL1" s="14">
        <v>43949</v>
      </c>
      <c r="KM1" s="14">
        <v>43948</v>
      </c>
      <c r="KN1" s="14">
        <v>43947</v>
      </c>
      <c r="KO1" s="14">
        <v>43946</v>
      </c>
      <c r="KP1" s="14">
        <v>43945</v>
      </c>
      <c r="KQ1" s="14">
        <v>43944</v>
      </c>
      <c r="KR1" s="14">
        <v>43943</v>
      </c>
      <c r="KS1" s="14">
        <v>43942</v>
      </c>
      <c r="KT1" s="14">
        <v>43941</v>
      </c>
      <c r="KU1" s="14">
        <v>43940</v>
      </c>
      <c r="KV1" s="14">
        <v>43939</v>
      </c>
      <c r="KW1" s="14">
        <v>43938</v>
      </c>
      <c r="KX1" s="14">
        <v>43937</v>
      </c>
      <c r="KY1" s="14">
        <v>43936</v>
      </c>
      <c r="KZ1" s="14">
        <v>43935</v>
      </c>
      <c r="LA1" s="14">
        <v>43934</v>
      </c>
      <c r="LB1" s="14">
        <v>43933</v>
      </c>
      <c r="LC1" s="14">
        <v>43932</v>
      </c>
      <c r="LD1" s="14">
        <v>43931</v>
      </c>
      <c r="LE1" s="14">
        <v>43930</v>
      </c>
      <c r="LF1" s="14">
        <v>43929</v>
      </c>
      <c r="LG1" s="14">
        <v>43928</v>
      </c>
      <c r="LH1" s="14">
        <v>43927</v>
      </c>
      <c r="LI1" s="14">
        <v>43926</v>
      </c>
      <c r="LJ1" s="14">
        <v>43925</v>
      </c>
      <c r="LK1" s="14">
        <v>43924</v>
      </c>
      <c r="LL1" s="14">
        <v>43923</v>
      </c>
      <c r="LM1" s="14">
        <v>43922</v>
      </c>
      <c r="LN1" s="14">
        <v>43921</v>
      </c>
      <c r="LO1" s="14">
        <v>43920</v>
      </c>
      <c r="LP1" s="14">
        <v>43919</v>
      </c>
      <c r="LQ1" s="14">
        <v>43918</v>
      </c>
      <c r="LR1" s="14">
        <v>43917</v>
      </c>
      <c r="LS1" s="14">
        <v>43916</v>
      </c>
      <c r="LT1" s="14">
        <v>43915</v>
      </c>
      <c r="LU1" s="14">
        <v>43914</v>
      </c>
      <c r="LV1" s="14">
        <v>43913</v>
      </c>
      <c r="LW1" s="14">
        <v>43912</v>
      </c>
      <c r="LX1" s="14">
        <v>43911</v>
      </c>
      <c r="LY1" s="14">
        <v>43910</v>
      </c>
      <c r="LZ1" s="14">
        <v>43909</v>
      </c>
      <c r="MA1" s="14">
        <v>43908</v>
      </c>
      <c r="MB1" s="14">
        <v>43907</v>
      </c>
      <c r="MC1" s="14">
        <v>43906</v>
      </c>
      <c r="MD1" s="14">
        <v>43905</v>
      </c>
      <c r="ME1" s="14">
        <v>43904</v>
      </c>
      <c r="MF1" s="14">
        <v>43903</v>
      </c>
      <c r="MG1" s="14">
        <v>43902</v>
      </c>
      <c r="MH1" s="14">
        <v>43901</v>
      </c>
      <c r="MI1" s="14">
        <v>43900</v>
      </c>
      <c r="MJ1" s="14">
        <v>43899</v>
      </c>
      <c r="MK1" s="14">
        <v>43898</v>
      </c>
      <c r="ML1" s="14">
        <v>43897</v>
      </c>
      <c r="MM1" s="14">
        <v>43896</v>
      </c>
      <c r="MN1" s="14">
        <v>43895</v>
      </c>
      <c r="MO1" s="14">
        <v>43894</v>
      </c>
      <c r="MP1" s="14">
        <v>43893</v>
      </c>
      <c r="MQ1" s="14">
        <v>43892</v>
      </c>
      <c r="MR1" s="14">
        <v>43891</v>
      </c>
      <c r="MS1" s="14">
        <v>43890</v>
      </c>
      <c r="MT1" s="14">
        <v>43889</v>
      </c>
      <c r="MU1" s="14">
        <v>43888</v>
      </c>
      <c r="MV1" s="14">
        <v>43887</v>
      </c>
      <c r="MW1" s="14">
        <v>43886</v>
      </c>
      <c r="MX1" s="14">
        <v>43885</v>
      </c>
      <c r="MY1" s="14">
        <v>43884</v>
      </c>
      <c r="MZ1" s="14">
        <v>43883</v>
      </c>
      <c r="NA1" s="14">
        <v>43882</v>
      </c>
      <c r="NB1" s="14">
        <v>43881</v>
      </c>
      <c r="NC1" s="14">
        <v>43880</v>
      </c>
      <c r="ND1" s="14">
        <v>43879</v>
      </c>
      <c r="NE1" s="14">
        <v>43878</v>
      </c>
      <c r="NF1" s="14">
        <v>43877</v>
      </c>
      <c r="NG1" s="14">
        <v>43876</v>
      </c>
      <c r="NH1" s="14">
        <v>43875</v>
      </c>
      <c r="NI1" s="14">
        <v>43874</v>
      </c>
      <c r="NJ1" s="14">
        <v>43873</v>
      </c>
      <c r="NK1" s="14">
        <v>43872</v>
      </c>
      <c r="NL1" s="14">
        <v>43871</v>
      </c>
      <c r="NM1" s="14">
        <v>43870</v>
      </c>
      <c r="NN1" s="14">
        <v>43869</v>
      </c>
      <c r="NO1" s="14">
        <v>43868</v>
      </c>
      <c r="NP1" s="14">
        <v>43867</v>
      </c>
      <c r="NQ1" s="14">
        <v>43866</v>
      </c>
      <c r="NR1" s="14">
        <v>43865</v>
      </c>
      <c r="NS1" s="14">
        <v>43864</v>
      </c>
      <c r="NT1" s="14">
        <v>43863</v>
      </c>
      <c r="NU1" s="14">
        <v>43862</v>
      </c>
      <c r="NV1" s="14">
        <v>43861</v>
      </c>
      <c r="NW1" s="14">
        <v>43860</v>
      </c>
      <c r="NX1" s="14">
        <v>43859</v>
      </c>
      <c r="NY1" s="14">
        <v>43858</v>
      </c>
      <c r="NZ1" s="14">
        <v>43857</v>
      </c>
      <c r="OA1" s="14">
        <v>43856</v>
      </c>
      <c r="OB1" s="14">
        <v>43855</v>
      </c>
    </row>
    <row r="2" spans="1:395">
      <c r="A2" s="1" t="s">
        <v>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1</v>
      </c>
      <c r="AD2" s="1">
        <v>4</v>
      </c>
      <c r="AE2" s="1">
        <v>1</v>
      </c>
      <c r="AF2" s="1">
        <v>3</v>
      </c>
      <c r="AG2" s="1">
        <v>3</v>
      </c>
      <c r="AH2" s="1">
        <v>1</v>
      </c>
      <c r="AI2" s="1">
        <v>2</v>
      </c>
      <c r="AJ2" s="1">
        <v>0</v>
      </c>
      <c r="AK2" s="1">
        <v>3</v>
      </c>
      <c r="AL2" s="1">
        <v>3</v>
      </c>
      <c r="AM2" s="1">
        <v>2</v>
      </c>
      <c r="AN2" s="1">
        <v>1</v>
      </c>
      <c r="AO2" s="1">
        <v>7</v>
      </c>
      <c r="AP2" s="1">
        <v>1</v>
      </c>
      <c r="AQ2" s="1">
        <v>2</v>
      </c>
      <c r="AR2" s="1">
        <v>3</v>
      </c>
      <c r="AS2" s="1">
        <v>2</v>
      </c>
      <c r="AT2" s="1">
        <v>3</v>
      </c>
      <c r="AU2" s="1">
        <v>4</v>
      </c>
      <c r="AV2" s="1">
        <v>2</v>
      </c>
      <c r="AW2" s="1">
        <v>2</v>
      </c>
      <c r="AX2" s="1">
        <v>3</v>
      </c>
      <c r="AY2" s="1">
        <v>2</v>
      </c>
      <c r="AZ2" s="1">
        <v>3</v>
      </c>
      <c r="BA2" s="1">
        <v>1</v>
      </c>
      <c r="BB2" s="1">
        <v>1</v>
      </c>
      <c r="BC2" s="1">
        <v>1</v>
      </c>
      <c r="BD2" s="1">
        <v>0</v>
      </c>
      <c r="BE2" s="1">
        <v>1</v>
      </c>
      <c r="BF2" s="1">
        <v>1</v>
      </c>
      <c r="BG2" s="1">
        <v>1</v>
      </c>
      <c r="BH2" s="1">
        <v>1</v>
      </c>
      <c r="BI2" s="1">
        <v>3</v>
      </c>
      <c r="BJ2" s="1">
        <v>3</v>
      </c>
      <c r="BK2" s="1">
        <v>1</v>
      </c>
      <c r="BL2" s="1">
        <v>1</v>
      </c>
      <c r="BM2" s="1">
        <v>4</v>
      </c>
      <c r="BN2" s="1">
        <v>1</v>
      </c>
      <c r="BO2" s="1">
        <v>3</v>
      </c>
      <c r="BP2" s="1">
        <v>1</v>
      </c>
      <c r="BQ2" s="1">
        <v>1</v>
      </c>
      <c r="BR2" s="1">
        <v>1</v>
      </c>
      <c r="BS2" s="1">
        <v>2</v>
      </c>
      <c r="BT2" s="1">
        <v>3</v>
      </c>
      <c r="BU2" s="1">
        <v>1</v>
      </c>
      <c r="BV2" s="1">
        <v>2</v>
      </c>
      <c r="BW2" s="1">
        <v>3</v>
      </c>
      <c r="BX2" s="1">
        <v>2</v>
      </c>
      <c r="BY2" s="1">
        <v>2</v>
      </c>
      <c r="BZ2" s="1">
        <v>3</v>
      </c>
      <c r="CA2" s="1">
        <v>1</v>
      </c>
      <c r="CB2" s="1">
        <v>4</v>
      </c>
      <c r="CC2" s="1">
        <v>3</v>
      </c>
      <c r="CD2" s="1">
        <v>0</v>
      </c>
      <c r="CE2" s="1">
        <v>1</v>
      </c>
      <c r="CF2" s="1">
        <v>0</v>
      </c>
      <c r="CG2" s="1">
        <v>0</v>
      </c>
      <c r="CH2" s="1">
        <v>0</v>
      </c>
      <c r="CI2" s="1">
        <v>4</v>
      </c>
      <c r="CJ2" s="1">
        <v>1</v>
      </c>
      <c r="CK2" s="1">
        <v>4</v>
      </c>
      <c r="CL2" s="1">
        <v>4</v>
      </c>
      <c r="CM2" s="1">
        <v>0</v>
      </c>
      <c r="CN2" s="1">
        <v>0</v>
      </c>
      <c r="CO2" s="1">
        <v>2</v>
      </c>
      <c r="CP2" s="1">
        <v>1</v>
      </c>
      <c r="CQ2" s="1">
        <v>1</v>
      </c>
      <c r="CR2" s="1">
        <v>3</v>
      </c>
      <c r="CS2" s="1">
        <v>2</v>
      </c>
      <c r="CT2" s="1">
        <v>3</v>
      </c>
      <c r="CU2" s="1">
        <v>7</v>
      </c>
      <c r="CV2" s="1">
        <v>0</v>
      </c>
      <c r="CW2" s="1">
        <v>1</v>
      </c>
      <c r="CX2" s="1">
        <v>0</v>
      </c>
      <c r="CY2" s="1">
        <v>6</v>
      </c>
      <c r="CZ2" s="1">
        <v>4</v>
      </c>
      <c r="DA2" s="1">
        <v>3</v>
      </c>
      <c r="DB2" s="1">
        <v>2</v>
      </c>
      <c r="DC2" s="1">
        <v>3</v>
      </c>
      <c r="DD2" s="1">
        <v>0</v>
      </c>
      <c r="DE2" s="1">
        <v>3</v>
      </c>
      <c r="DF2" s="1">
        <v>8</v>
      </c>
      <c r="DG2" s="1">
        <v>5</v>
      </c>
      <c r="DH2" s="1">
        <v>3</v>
      </c>
      <c r="DI2" s="1">
        <v>3</v>
      </c>
      <c r="DJ2" s="1">
        <v>2</v>
      </c>
      <c r="DK2" s="1">
        <v>3</v>
      </c>
      <c r="DL2" s="1">
        <v>2</v>
      </c>
      <c r="DM2" s="1">
        <v>1</v>
      </c>
      <c r="DN2" s="1">
        <v>1</v>
      </c>
      <c r="DO2" s="1">
        <v>3</v>
      </c>
      <c r="DP2" s="1">
        <v>9</v>
      </c>
      <c r="DQ2" s="1">
        <v>0</v>
      </c>
      <c r="DR2" s="1">
        <v>3</v>
      </c>
      <c r="DS2" s="1">
        <v>3</v>
      </c>
      <c r="DT2" s="1">
        <v>5</v>
      </c>
      <c r="DU2" s="1">
        <v>3</v>
      </c>
      <c r="DV2" s="1">
        <v>4</v>
      </c>
      <c r="DW2" s="1">
        <v>2</v>
      </c>
      <c r="DX2" s="1">
        <v>2</v>
      </c>
      <c r="DY2" s="1">
        <v>4</v>
      </c>
      <c r="DZ2" s="1">
        <v>6</v>
      </c>
      <c r="EA2" s="1">
        <v>2</v>
      </c>
      <c r="EB2" s="1">
        <v>3</v>
      </c>
      <c r="EC2" s="1">
        <v>6</v>
      </c>
      <c r="ED2" s="1">
        <v>0</v>
      </c>
      <c r="EE2" s="1">
        <v>3</v>
      </c>
      <c r="EF2" s="1">
        <v>0</v>
      </c>
      <c r="EG2" s="1">
        <v>2</v>
      </c>
      <c r="EH2" s="1">
        <v>5</v>
      </c>
      <c r="EI2" s="1">
        <v>1</v>
      </c>
      <c r="EJ2" s="1">
        <v>6</v>
      </c>
      <c r="EK2" s="1">
        <v>3</v>
      </c>
      <c r="EL2" s="1">
        <v>2</v>
      </c>
      <c r="EM2" s="1">
        <v>2</v>
      </c>
      <c r="EN2" s="1">
        <v>8</v>
      </c>
      <c r="EO2" s="1">
        <v>0</v>
      </c>
      <c r="EP2" s="1">
        <v>5</v>
      </c>
      <c r="EQ2" s="1">
        <v>2</v>
      </c>
      <c r="ER2" s="1">
        <v>3</v>
      </c>
      <c r="ES2" s="1">
        <v>2</v>
      </c>
      <c r="ET2" s="1">
        <v>0</v>
      </c>
      <c r="EU2" s="1">
        <v>4</v>
      </c>
      <c r="EV2" s="1">
        <v>3</v>
      </c>
      <c r="EW2" s="1">
        <v>3</v>
      </c>
      <c r="EX2" s="1">
        <v>4</v>
      </c>
      <c r="EY2" s="1">
        <v>6</v>
      </c>
      <c r="EZ2" s="1">
        <v>3</v>
      </c>
      <c r="FA2" s="1">
        <v>1</v>
      </c>
      <c r="FB2" s="1">
        <v>1</v>
      </c>
      <c r="FC2" s="1">
        <v>4</v>
      </c>
      <c r="FD2" s="1">
        <v>1</v>
      </c>
      <c r="FE2" s="1">
        <v>1</v>
      </c>
      <c r="FF2" s="1">
        <v>2</v>
      </c>
      <c r="FG2" s="1">
        <v>4</v>
      </c>
      <c r="FH2" s="1">
        <v>1</v>
      </c>
      <c r="FI2" s="1">
        <v>0</v>
      </c>
      <c r="FJ2" s="1">
        <v>2</v>
      </c>
      <c r="FK2" s="1">
        <v>4</v>
      </c>
      <c r="FL2" s="1">
        <v>3</v>
      </c>
      <c r="FM2" s="1">
        <v>2</v>
      </c>
      <c r="FN2" s="1">
        <v>13</v>
      </c>
      <c r="FO2" s="1">
        <v>3</v>
      </c>
      <c r="FP2" s="1">
        <v>2</v>
      </c>
      <c r="FQ2" s="1">
        <v>1</v>
      </c>
      <c r="FR2" s="1">
        <v>1</v>
      </c>
      <c r="FS2" s="1">
        <v>1</v>
      </c>
      <c r="FT2" s="1">
        <v>2</v>
      </c>
      <c r="FU2" s="1">
        <v>1</v>
      </c>
      <c r="FV2" s="1">
        <v>0</v>
      </c>
      <c r="FW2" s="1">
        <v>4</v>
      </c>
      <c r="FX2" s="1">
        <v>3</v>
      </c>
      <c r="FY2" s="1">
        <v>0</v>
      </c>
      <c r="FZ2" s="1">
        <v>2</v>
      </c>
      <c r="GA2" s="1">
        <v>0</v>
      </c>
      <c r="GB2">
        <v>0</v>
      </c>
      <c r="GC2" s="1">
        <v>0</v>
      </c>
      <c r="GD2" s="1">
        <v>4</v>
      </c>
      <c r="GE2" s="1">
        <v>1</v>
      </c>
      <c r="GF2" s="1">
        <v>8</v>
      </c>
      <c r="GG2" s="1">
        <v>3</v>
      </c>
      <c r="GH2" s="1">
        <v>1</v>
      </c>
      <c r="GI2" s="1">
        <v>0</v>
      </c>
      <c r="GJ2" s="1">
        <v>2</v>
      </c>
      <c r="GK2" s="1">
        <v>6</v>
      </c>
      <c r="GL2" s="1">
        <v>3</v>
      </c>
      <c r="GM2" s="1">
        <v>3</v>
      </c>
      <c r="GN2" s="1">
        <v>5</v>
      </c>
      <c r="GO2" s="1">
        <v>1</v>
      </c>
      <c r="GP2" s="1">
        <v>0</v>
      </c>
      <c r="GQ2" s="1">
        <v>0</v>
      </c>
      <c r="GR2" s="1">
        <v>0</v>
      </c>
      <c r="GS2" s="1">
        <v>4</v>
      </c>
      <c r="GT2" s="1">
        <v>1</v>
      </c>
      <c r="GU2" s="1">
        <v>2</v>
      </c>
      <c r="GV2" s="1">
        <v>2</v>
      </c>
      <c r="GW2" s="1">
        <v>3</v>
      </c>
      <c r="GX2" s="1">
        <v>1</v>
      </c>
      <c r="GY2" s="1">
        <v>2</v>
      </c>
      <c r="GZ2" s="1">
        <v>0</v>
      </c>
      <c r="HA2" s="1">
        <v>0</v>
      </c>
      <c r="HB2" s="1">
        <v>3</v>
      </c>
      <c r="HC2" s="1">
        <v>2</v>
      </c>
      <c r="HD2" s="1">
        <v>5</v>
      </c>
      <c r="HE2" s="1">
        <v>1</v>
      </c>
      <c r="HF2" s="1">
        <v>2</v>
      </c>
      <c r="HG2" s="1">
        <v>0</v>
      </c>
      <c r="HH2" s="1">
        <v>0</v>
      </c>
      <c r="HI2" s="1">
        <v>2</v>
      </c>
      <c r="HJ2" s="1">
        <v>3</v>
      </c>
      <c r="HK2" s="1">
        <v>1</v>
      </c>
      <c r="HL2" s="1">
        <v>0</v>
      </c>
      <c r="HM2" s="1">
        <v>0</v>
      </c>
      <c r="HN2" s="1">
        <v>0</v>
      </c>
      <c r="HO2" s="1">
        <v>2</v>
      </c>
      <c r="HP2" s="1">
        <v>0</v>
      </c>
      <c r="HQ2" s="1">
        <v>1</v>
      </c>
      <c r="HR2" s="1">
        <v>0</v>
      </c>
      <c r="HS2" s="1">
        <v>2</v>
      </c>
      <c r="HT2" s="1">
        <v>1</v>
      </c>
      <c r="HU2" s="1">
        <v>1</v>
      </c>
      <c r="HV2" s="1">
        <v>0</v>
      </c>
      <c r="HW2" s="1">
        <v>0</v>
      </c>
      <c r="HX2" s="1">
        <v>1</v>
      </c>
      <c r="HY2" s="1">
        <v>0</v>
      </c>
      <c r="HZ2" s="1">
        <v>1</v>
      </c>
      <c r="IA2" s="1">
        <v>0</v>
      </c>
      <c r="IB2" s="1">
        <v>4</v>
      </c>
      <c r="IC2" s="1">
        <v>0</v>
      </c>
      <c r="ID2" s="1">
        <v>0</v>
      </c>
      <c r="IE2" s="1">
        <v>2</v>
      </c>
      <c r="IF2" s="1">
        <v>0</v>
      </c>
      <c r="IG2" s="1">
        <v>1</v>
      </c>
      <c r="IH2" s="1">
        <v>0</v>
      </c>
      <c r="II2" s="1">
        <v>0</v>
      </c>
      <c r="IJ2" s="1">
        <v>0</v>
      </c>
      <c r="IK2" s="1">
        <v>0</v>
      </c>
      <c r="IL2" s="1">
        <v>3</v>
      </c>
      <c r="IM2" s="1">
        <v>3</v>
      </c>
      <c r="IN2" s="1">
        <v>0</v>
      </c>
      <c r="IO2" s="1">
        <v>0</v>
      </c>
      <c r="IP2" s="1">
        <v>3</v>
      </c>
      <c r="IQ2" s="1">
        <v>0</v>
      </c>
      <c r="IR2" s="1">
        <v>17</v>
      </c>
      <c r="IS2" s="1">
        <v>1</v>
      </c>
      <c r="IT2" s="1">
        <v>0</v>
      </c>
      <c r="IU2" s="1">
        <v>3</v>
      </c>
      <c r="IV2" s="1">
        <v>0</v>
      </c>
      <c r="IW2" s="1">
        <v>2</v>
      </c>
      <c r="IX2" s="1">
        <v>0</v>
      </c>
      <c r="IY2" s="1">
        <v>1</v>
      </c>
      <c r="IZ2" s="1">
        <v>3</v>
      </c>
      <c r="JA2" s="1">
        <v>0</v>
      </c>
      <c r="JB2" s="1">
        <v>1</v>
      </c>
      <c r="JC2" s="1">
        <v>1</v>
      </c>
      <c r="JD2" s="1">
        <v>1</v>
      </c>
      <c r="JE2" s="1">
        <v>2</v>
      </c>
      <c r="JF2" s="1">
        <v>0</v>
      </c>
      <c r="JG2" s="1">
        <v>1</v>
      </c>
      <c r="JH2" s="1">
        <v>0</v>
      </c>
      <c r="JI2" s="1">
        <v>0</v>
      </c>
      <c r="JJ2" s="1">
        <v>0</v>
      </c>
      <c r="JK2" s="1">
        <v>0</v>
      </c>
      <c r="JL2" s="1">
        <v>0</v>
      </c>
      <c r="JM2" s="1">
        <v>1</v>
      </c>
      <c r="JN2" s="1">
        <v>0</v>
      </c>
      <c r="JO2" s="1">
        <v>0</v>
      </c>
      <c r="JP2" s="1">
        <v>1</v>
      </c>
      <c r="JQ2" s="1">
        <v>0</v>
      </c>
      <c r="JR2" s="1">
        <v>0</v>
      </c>
      <c r="JS2" s="1">
        <v>0</v>
      </c>
      <c r="JT2" s="1">
        <v>1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1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1</v>
      </c>
      <c r="KM2" s="1">
        <v>0</v>
      </c>
      <c r="KN2" s="1">
        <v>1</v>
      </c>
      <c r="KO2" s="1">
        <v>1</v>
      </c>
      <c r="KP2" s="1">
        <v>0</v>
      </c>
      <c r="KQ2" s="1">
        <v>1</v>
      </c>
      <c r="KR2" s="1">
        <v>2</v>
      </c>
      <c r="KS2" s="1">
        <v>1</v>
      </c>
      <c r="KT2" s="1">
        <v>1</v>
      </c>
      <c r="KU2" s="1">
        <v>1</v>
      </c>
      <c r="KV2" s="1">
        <v>1</v>
      </c>
      <c r="KW2" s="1">
        <v>2</v>
      </c>
      <c r="KX2" s="1">
        <v>6</v>
      </c>
      <c r="KY2" s="1">
        <v>5</v>
      </c>
      <c r="KZ2" s="1">
        <v>2</v>
      </c>
      <c r="LA2" s="1">
        <v>9</v>
      </c>
      <c r="LB2" s="1">
        <v>3</v>
      </c>
      <c r="LC2" s="1">
        <v>4</v>
      </c>
      <c r="LD2" s="1">
        <v>4</v>
      </c>
      <c r="LE2" s="1">
        <v>5</v>
      </c>
      <c r="LF2" s="1">
        <v>3</v>
      </c>
      <c r="LG2" s="1">
        <v>3</v>
      </c>
      <c r="LH2" s="1">
        <v>1</v>
      </c>
      <c r="LI2" s="1">
        <v>8</v>
      </c>
      <c r="LJ2" s="1">
        <v>8</v>
      </c>
      <c r="LK2" s="1">
        <v>2</v>
      </c>
      <c r="LL2" s="1">
        <v>7</v>
      </c>
      <c r="LM2" s="1">
        <v>6</v>
      </c>
      <c r="LN2" s="1">
        <v>11</v>
      </c>
      <c r="LO2" s="1">
        <v>6</v>
      </c>
      <c r="LP2" s="1">
        <v>9</v>
      </c>
      <c r="LQ2" s="1">
        <v>8</v>
      </c>
      <c r="LR2" s="1">
        <v>11</v>
      </c>
      <c r="LS2" s="1">
        <v>12</v>
      </c>
      <c r="LT2" s="1">
        <v>11</v>
      </c>
      <c r="LU2" s="1">
        <v>5</v>
      </c>
      <c r="LV2" s="1">
        <v>15</v>
      </c>
      <c r="LW2" s="1">
        <v>6</v>
      </c>
      <c r="LX2" s="1">
        <v>8</v>
      </c>
      <c r="LY2" s="1">
        <v>7</v>
      </c>
      <c r="LZ2" s="1">
        <v>14</v>
      </c>
      <c r="MA2" s="1">
        <v>9</v>
      </c>
      <c r="MB2" s="1">
        <v>5</v>
      </c>
      <c r="MC2" s="1">
        <v>3</v>
      </c>
      <c r="MD2" s="1">
        <v>4</v>
      </c>
      <c r="ME2" s="1">
        <v>1</v>
      </c>
      <c r="MF2" s="1">
        <v>0</v>
      </c>
      <c r="MG2" s="1">
        <v>0</v>
      </c>
      <c r="MH2" s="1">
        <v>3</v>
      </c>
      <c r="MI2" s="1">
        <v>0</v>
      </c>
      <c r="MJ2" s="1">
        <v>1</v>
      </c>
      <c r="MK2" s="1">
        <v>0</v>
      </c>
      <c r="ML2" s="1">
        <v>0</v>
      </c>
      <c r="MM2" s="1">
        <v>1</v>
      </c>
      <c r="MN2" s="1">
        <v>1</v>
      </c>
      <c r="MO2" s="1">
        <v>0</v>
      </c>
      <c r="MP2" s="1">
        <v>0</v>
      </c>
      <c r="MQ2" s="1">
        <v>0</v>
      </c>
      <c r="MR2" s="1">
        <v>1</v>
      </c>
      <c r="MS2" s="1">
        <v>0</v>
      </c>
      <c r="MT2" s="1">
        <v>1</v>
      </c>
      <c r="MU2" s="1">
        <v>1</v>
      </c>
      <c r="MV2" s="1">
        <v>0</v>
      </c>
      <c r="MW2" s="1">
        <v>0</v>
      </c>
      <c r="MX2" s="1">
        <v>2</v>
      </c>
      <c r="MY2" s="1">
        <v>3</v>
      </c>
      <c r="MZ2" s="1">
        <v>3</v>
      </c>
      <c r="NA2" s="1">
        <v>3</v>
      </c>
      <c r="NB2" s="1">
        <v>6</v>
      </c>
      <c r="NC2" s="1">
        <v>1</v>
      </c>
      <c r="ND2" s="1">
        <v>1</v>
      </c>
      <c r="NE2" s="1">
        <v>3</v>
      </c>
      <c r="NF2" s="1">
        <v>6</v>
      </c>
      <c r="NG2" s="1">
        <v>6</v>
      </c>
      <c r="NH2" s="1">
        <v>22</v>
      </c>
      <c r="NI2" s="1">
        <v>33</v>
      </c>
      <c r="NJ2" s="1">
        <v>20</v>
      </c>
      <c r="NK2" s="1">
        <v>22</v>
      </c>
      <c r="NL2" s="1">
        <v>42</v>
      </c>
      <c r="NM2" s="1">
        <v>26</v>
      </c>
      <c r="NN2" s="1">
        <v>31</v>
      </c>
      <c r="NO2" s="1">
        <v>45</v>
      </c>
      <c r="NP2" s="1">
        <v>57</v>
      </c>
      <c r="NQ2" s="1">
        <v>74</v>
      </c>
      <c r="NR2" s="1">
        <v>74</v>
      </c>
      <c r="NS2" s="1">
        <v>73</v>
      </c>
      <c r="NT2" s="1">
        <v>114</v>
      </c>
      <c r="NU2" s="1">
        <v>79</v>
      </c>
      <c r="NV2" s="1">
        <v>84</v>
      </c>
      <c r="NW2" s="1">
        <v>127</v>
      </c>
      <c r="NX2" s="1">
        <v>82</v>
      </c>
      <c r="NY2" s="1">
        <v>70</v>
      </c>
      <c r="NZ2" s="1">
        <v>53</v>
      </c>
      <c r="OA2" s="1">
        <v>42</v>
      </c>
      <c r="OB2" s="1">
        <v>48</v>
      </c>
    </row>
    <row r="3" spans="1:395">
      <c r="A3" s="1" t="s">
        <v>20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2</v>
      </c>
      <c r="AG3" s="1">
        <v>3</v>
      </c>
      <c r="AH3" s="1">
        <v>2</v>
      </c>
      <c r="AI3" s="1">
        <v>0</v>
      </c>
      <c r="AJ3" s="1">
        <v>0</v>
      </c>
      <c r="AK3" s="1">
        <v>1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1</v>
      </c>
      <c r="BB3" s="1">
        <v>0</v>
      </c>
      <c r="BC3" s="1">
        <v>3</v>
      </c>
      <c r="BD3" s="1">
        <v>2</v>
      </c>
      <c r="BE3" s="1">
        <v>0</v>
      </c>
      <c r="BF3" s="1">
        <v>0</v>
      </c>
      <c r="BG3" s="1">
        <v>0</v>
      </c>
      <c r="BH3" s="1">
        <v>1</v>
      </c>
      <c r="BI3" s="1">
        <v>0</v>
      </c>
      <c r="BJ3" s="1">
        <v>0</v>
      </c>
      <c r="BK3" s="1">
        <v>1</v>
      </c>
      <c r="BL3" s="1">
        <v>1</v>
      </c>
      <c r="BM3" s="1">
        <v>0</v>
      </c>
      <c r="BN3" s="1">
        <v>0</v>
      </c>
      <c r="BO3" s="1">
        <v>0</v>
      </c>
      <c r="BP3" s="1">
        <v>0</v>
      </c>
      <c r="BQ3" s="1">
        <v>1</v>
      </c>
      <c r="BR3" s="1">
        <v>0</v>
      </c>
      <c r="BS3" s="1">
        <v>1</v>
      </c>
      <c r="BT3" s="1">
        <v>0</v>
      </c>
      <c r="BU3" s="1">
        <v>0</v>
      </c>
      <c r="BV3" s="1">
        <v>0</v>
      </c>
      <c r="BW3" s="1">
        <v>0</v>
      </c>
      <c r="BX3" s="1">
        <v>1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1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1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1</v>
      </c>
      <c r="CZ3" s="1">
        <v>0</v>
      </c>
      <c r="DA3" s="1">
        <v>2</v>
      </c>
      <c r="DB3" s="1">
        <v>0</v>
      </c>
      <c r="DC3" s="1">
        <v>1</v>
      </c>
      <c r="DD3" s="1">
        <v>0</v>
      </c>
      <c r="DE3" s="1">
        <v>0</v>
      </c>
      <c r="DF3" s="1">
        <v>1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1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1</v>
      </c>
      <c r="FC3" s="1">
        <v>1</v>
      </c>
      <c r="FD3" s="1">
        <v>0</v>
      </c>
      <c r="FE3" s="1">
        <v>2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1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1</v>
      </c>
      <c r="GL3" s="1">
        <v>1</v>
      </c>
      <c r="GM3" s="1">
        <v>1</v>
      </c>
      <c r="GN3" s="1">
        <v>1</v>
      </c>
      <c r="GO3" s="1">
        <v>1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 s="1">
        <v>0</v>
      </c>
      <c r="HI3" s="1">
        <v>0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1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0</v>
      </c>
      <c r="JC3" s="1">
        <v>0</v>
      </c>
      <c r="JD3" s="1">
        <v>0</v>
      </c>
      <c r="JE3" s="1">
        <v>0</v>
      </c>
      <c r="JF3" s="1">
        <v>0</v>
      </c>
      <c r="JG3" s="1">
        <v>0</v>
      </c>
      <c r="JH3" s="1">
        <v>0</v>
      </c>
      <c r="JI3" s="1">
        <v>0</v>
      </c>
      <c r="JJ3" s="1">
        <v>0</v>
      </c>
      <c r="JK3" s="1">
        <v>0</v>
      </c>
      <c r="JL3" s="1">
        <v>0</v>
      </c>
      <c r="JM3" s="1">
        <v>0</v>
      </c>
      <c r="JN3" s="1">
        <v>0</v>
      </c>
      <c r="JO3" s="1">
        <v>0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1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1</v>
      </c>
      <c r="LG3" s="1">
        <v>1</v>
      </c>
      <c r="LH3" s="1">
        <v>1</v>
      </c>
      <c r="LI3" s="1">
        <v>1</v>
      </c>
      <c r="LJ3" s="1">
        <v>1</v>
      </c>
      <c r="LK3" s="1">
        <v>2</v>
      </c>
      <c r="LL3" s="1">
        <v>2</v>
      </c>
      <c r="LM3" s="1">
        <v>1</v>
      </c>
      <c r="LN3" s="1">
        <v>0</v>
      </c>
      <c r="LO3" s="1">
        <v>2</v>
      </c>
      <c r="LP3" s="1">
        <v>1</v>
      </c>
      <c r="LQ3" s="1">
        <v>3</v>
      </c>
      <c r="LR3" s="1">
        <v>4</v>
      </c>
      <c r="LS3" s="1">
        <v>4</v>
      </c>
      <c r="LT3" s="1">
        <v>2</v>
      </c>
      <c r="LU3" s="1">
        <v>1</v>
      </c>
      <c r="LV3" s="1">
        <v>2</v>
      </c>
      <c r="LW3" s="1">
        <v>1</v>
      </c>
      <c r="LX3" s="1">
        <v>1</v>
      </c>
      <c r="LY3" s="1">
        <v>2</v>
      </c>
      <c r="LZ3" s="1">
        <v>1</v>
      </c>
      <c r="MA3" s="1">
        <v>1</v>
      </c>
      <c r="MB3" s="1">
        <v>0</v>
      </c>
      <c r="MC3" s="1">
        <v>1</v>
      </c>
      <c r="MD3" s="1">
        <v>0</v>
      </c>
      <c r="ME3" s="1">
        <v>4</v>
      </c>
      <c r="MF3" s="1">
        <v>0</v>
      </c>
      <c r="MG3" s="1">
        <v>0</v>
      </c>
      <c r="MH3" s="1">
        <v>0</v>
      </c>
      <c r="MI3" s="1">
        <v>0</v>
      </c>
      <c r="MJ3" s="1">
        <v>0</v>
      </c>
      <c r="MK3" s="1">
        <v>0</v>
      </c>
      <c r="ML3" s="1">
        <v>0</v>
      </c>
      <c r="MM3" s="1">
        <v>0</v>
      </c>
      <c r="MN3" s="1">
        <v>0</v>
      </c>
      <c r="MO3" s="1">
        <v>2</v>
      </c>
      <c r="MP3" s="1">
        <v>0</v>
      </c>
      <c r="MQ3" s="1">
        <v>8</v>
      </c>
      <c r="MR3" s="1">
        <v>0</v>
      </c>
      <c r="MS3" s="1">
        <v>0</v>
      </c>
      <c r="MT3" s="1">
        <v>0</v>
      </c>
      <c r="MU3" s="1">
        <v>0</v>
      </c>
      <c r="MV3" s="1">
        <v>0</v>
      </c>
      <c r="MW3" s="1">
        <v>0</v>
      </c>
      <c r="MX3" s="1">
        <v>0</v>
      </c>
      <c r="MY3" s="1">
        <v>0</v>
      </c>
      <c r="MZ3" s="1">
        <v>0</v>
      </c>
      <c r="NA3" s="1">
        <v>0</v>
      </c>
      <c r="NB3" s="1">
        <v>2</v>
      </c>
      <c r="NC3" s="1">
        <v>28</v>
      </c>
      <c r="ND3" s="1">
        <v>2</v>
      </c>
      <c r="NE3" s="1">
        <v>1</v>
      </c>
      <c r="NF3" s="1">
        <v>1</v>
      </c>
      <c r="NG3" s="1">
        <v>4</v>
      </c>
      <c r="NH3" s="1">
        <v>5</v>
      </c>
      <c r="NI3" s="1">
        <v>7</v>
      </c>
      <c r="NJ3" s="1">
        <v>10</v>
      </c>
      <c r="NK3" s="1">
        <v>14</v>
      </c>
      <c r="NL3" s="1">
        <v>14</v>
      </c>
      <c r="NM3" s="1">
        <v>25</v>
      </c>
      <c r="NN3" s="1">
        <v>29</v>
      </c>
      <c r="NO3" s="1">
        <v>27</v>
      </c>
      <c r="NP3" s="1">
        <v>42</v>
      </c>
      <c r="NQ3" s="1">
        <v>52</v>
      </c>
      <c r="NR3" s="1">
        <v>59</v>
      </c>
      <c r="NS3" s="1">
        <v>66</v>
      </c>
      <c r="NT3" s="1">
        <v>105</v>
      </c>
      <c r="NU3" s="1">
        <v>63</v>
      </c>
      <c r="NV3" s="1">
        <v>62</v>
      </c>
      <c r="NW3" s="1">
        <v>62</v>
      </c>
      <c r="NX3" s="1">
        <v>109</v>
      </c>
      <c r="NY3" s="1">
        <v>132</v>
      </c>
      <c r="NZ3" s="1">
        <v>123</v>
      </c>
      <c r="OA3" s="1">
        <v>45</v>
      </c>
      <c r="OB3" s="1">
        <v>24</v>
      </c>
    </row>
    <row r="4" spans="1:395">
      <c r="A4" s="1" t="s">
        <v>21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1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</v>
      </c>
      <c r="AS4" s="1">
        <v>0</v>
      </c>
      <c r="AT4" s="1">
        <v>0</v>
      </c>
      <c r="AU4" s="1">
        <v>1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1</v>
      </c>
      <c r="BC4" s="1">
        <v>0</v>
      </c>
      <c r="BD4" s="1">
        <v>0</v>
      </c>
      <c r="BE4" s="1">
        <v>0</v>
      </c>
      <c r="BF4" s="1">
        <v>0</v>
      </c>
      <c r="BG4" s="1">
        <v>1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1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3</v>
      </c>
      <c r="CA4" s="1">
        <v>2</v>
      </c>
      <c r="CB4" s="1">
        <v>0</v>
      </c>
      <c r="CC4" s="1">
        <v>1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1</v>
      </c>
      <c r="CU4" s="1">
        <v>0</v>
      </c>
      <c r="CV4" s="1">
        <v>1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1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2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1</v>
      </c>
      <c r="EY4" s="1">
        <v>0</v>
      </c>
      <c r="EZ4" s="1">
        <v>0</v>
      </c>
      <c r="FA4" s="1">
        <v>1</v>
      </c>
      <c r="FB4" s="1">
        <v>0</v>
      </c>
      <c r="FC4" s="1">
        <v>0</v>
      </c>
      <c r="FD4" s="1">
        <v>0</v>
      </c>
      <c r="FE4" s="1">
        <v>1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0</v>
      </c>
      <c r="JI4" s="1">
        <v>0</v>
      </c>
      <c r="JJ4" s="1">
        <v>0</v>
      </c>
      <c r="JK4" s="1">
        <v>0</v>
      </c>
      <c r="JL4" s="1">
        <v>0</v>
      </c>
      <c r="JM4" s="1">
        <v>0</v>
      </c>
      <c r="JN4" s="1">
        <v>0</v>
      </c>
      <c r="JO4" s="1">
        <v>0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0</v>
      </c>
      <c r="LO4" s="1">
        <v>0</v>
      </c>
      <c r="LP4" s="1">
        <v>0</v>
      </c>
      <c r="LQ4" s="1">
        <v>1</v>
      </c>
      <c r="LR4" s="1">
        <v>0</v>
      </c>
      <c r="LS4" s="1">
        <v>0</v>
      </c>
      <c r="LT4" s="1">
        <v>1</v>
      </c>
      <c r="LU4" s="1">
        <v>0</v>
      </c>
      <c r="LV4" s="1">
        <v>0</v>
      </c>
      <c r="LW4" s="1">
        <v>1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1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  <c r="MU4" s="1">
        <v>0</v>
      </c>
      <c r="MV4" s="1">
        <v>1</v>
      </c>
      <c r="MW4" s="1">
        <v>0</v>
      </c>
      <c r="MX4" s="1">
        <v>0</v>
      </c>
      <c r="MY4" s="1">
        <v>0</v>
      </c>
      <c r="MZ4" s="1">
        <v>1</v>
      </c>
      <c r="NA4" s="1">
        <v>1</v>
      </c>
      <c r="NB4" s="1">
        <v>3</v>
      </c>
      <c r="NC4" s="1">
        <v>2</v>
      </c>
      <c r="ND4" s="1">
        <v>4</v>
      </c>
      <c r="NE4" s="1">
        <v>5</v>
      </c>
      <c r="NF4" s="1">
        <v>11</v>
      </c>
      <c r="NG4" s="1">
        <v>15</v>
      </c>
      <c r="NH4" s="1">
        <v>19</v>
      </c>
      <c r="NI4" s="1">
        <v>28</v>
      </c>
      <c r="NJ4" s="1">
        <v>15</v>
      </c>
      <c r="NK4" s="1">
        <v>34</v>
      </c>
      <c r="NL4" s="1">
        <v>30</v>
      </c>
      <c r="NM4" s="1">
        <v>32</v>
      </c>
      <c r="NN4" s="1">
        <v>40</v>
      </c>
      <c r="NO4" s="1">
        <v>53</v>
      </c>
      <c r="NP4" s="1">
        <v>67</v>
      </c>
      <c r="NQ4" s="1">
        <v>63</v>
      </c>
      <c r="NR4" s="1">
        <v>87</v>
      </c>
      <c r="NS4" s="1">
        <v>89</v>
      </c>
      <c r="NT4" s="1">
        <v>109</v>
      </c>
      <c r="NU4" s="1">
        <v>73</v>
      </c>
      <c r="NV4" s="1">
        <v>71</v>
      </c>
      <c r="NW4" s="1">
        <v>70</v>
      </c>
      <c r="NX4" s="1">
        <v>74</v>
      </c>
      <c r="NY4" s="1">
        <v>72</v>
      </c>
      <c r="NZ4" s="1">
        <v>38</v>
      </c>
      <c r="OA4" s="1">
        <v>40</v>
      </c>
      <c r="OB4" s="1">
        <v>45</v>
      </c>
    </row>
    <row r="5" spans="1:395">
      <c r="A5" s="1" t="s">
        <v>22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1</v>
      </c>
      <c r="AD5" s="1">
        <v>0</v>
      </c>
      <c r="AE5" s="1">
        <v>0</v>
      </c>
      <c r="AF5" s="1">
        <v>0</v>
      </c>
      <c r="AG5" s="1">
        <v>0</v>
      </c>
      <c r="AH5" s="1">
        <v>2</v>
      </c>
      <c r="AI5" s="1">
        <v>1</v>
      </c>
      <c r="AJ5" s="1">
        <v>1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1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0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1</v>
      </c>
      <c r="LN5" s="1">
        <v>0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1</v>
      </c>
      <c r="MU5" s="1">
        <v>0</v>
      </c>
      <c r="MV5" s="1">
        <v>1</v>
      </c>
      <c r="MW5" s="1">
        <v>0</v>
      </c>
      <c r="MX5" s="1">
        <v>0</v>
      </c>
      <c r="MY5" s="1">
        <v>0</v>
      </c>
      <c r="MZ5" s="1">
        <v>3</v>
      </c>
      <c r="NA5" s="1">
        <v>3</v>
      </c>
      <c r="NB5" s="1">
        <v>2</v>
      </c>
      <c r="NC5" s="1">
        <v>1</v>
      </c>
      <c r="ND5" s="1">
        <v>2</v>
      </c>
      <c r="NE5" s="1">
        <v>1</v>
      </c>
      <c r="NF5" s="1">
        <v>1</v>
      </c>
      <c r="NG5" s="1">
        <v>2</v>
      </c>
      <c r="NH5" s="1">
        <v>3</v>
      </c>
      <c r="NI5" s="1">
        <v>13</v>
      </c>
      <c r="NJ5" s="1">
        <v>20</v>
      </c>
      <c r="NK5" s="1">
        <v>22</v>
      </c>
      <c r="NL5" s="1">
        <v>34</v>
      </c>
      <c r="NM5" s="1">
        <v>33</v>
      </c>
      <c r="NN5" s="1">
        <v>41</v>
      </c>
      <c r="NO5" s="1">
        <v>35</v>
      </c>
      <c r="NP5" s="1">
        <v>31</v>
      </c>
      <c r="NQ5" s="1">
        <v>61</v>
      </c>
      <c r="NR5" s="1">
        <v>50</v>
      </c>
      <c r="NS5" s="1">
        <v>68</v>
      </c>
      <c r="NT5" s="1">
        <v>72</v>
      </c>
      <c r="NU5" s="1">
        <v>58</v>
      </c>
      <c r="NV5" s="1">
        <v>74</v>
      </c>
      <c r="NW5" s="1">
        <v>57</v>
      </c>
      <c r="NX5" s="1">
        <v>55</v>
      </c>
      <c r="NY5" s="1">
        <v>56</v>
      </c>
      <c r="NZ5" s="1">
        <v>78</v>
      </c>
      <c r="OA5" s="1">
        <v>43</v>
      </c>
      <c r="OB5" s="1">
        <v>31</v>
      </c>
    </row>
    <row r="6" spans="1:395">
      <c r="A6" s="1" t="s">
        <v>83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1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s="1">
        <v>0</v>
      </c>
      <c r="JI6" s="1">
        <v>0</v>
      </c>
      <c r="JJ6" s="1">
        <v>0</v>
      </c>
      <c r="JK6" s="1">
        <v>0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1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1</v>
      </c>
      <c r="MS6" s="1">
        <v>0</v>
      </c>
      <c r="MT6" s="1">
        <v>0</v>
      </c>
      <c r="MU6" s="1">
        <v>1</v>
      </c>
      <c r="MV6" s="1">
        <v>0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1</v>
      </c>
      <c r="NC6" s="1">
        <v>1</v>
      </c>
      <c r="ND6" s="1">
        <v>1</v>
      </c>
      <c r="NE6" s="1">
        <v>4</v>
      </c>
      <c r="NF6" s="1">
        <v>9</v>
      </c>
      <c r="NG6" s="1">
        <v>11</v>
      </c>
      <c r="NH6" s="1">
        <v>12</v>
      </c>
      <c r="NI6" s="1">
        <v>16</v>
      </c>
      <c r="NJ6" s="1">
        <v>24</v>
      </c>
      <c r="NK6" s="1">
        <v>22</v>
      </c>
      <c r="NL6" s="1">
        <v>29</v>
      </c>
      <c r="NM6" s="1">
        <v>30</v>
      </c>
      <c r="NN6" s="1">
        <v>51</v>
      </c>
      <c r="NO6" s="1">
        <v>46</v>
      </c>
      <c r="NP6" s="1">
        <v>68</v>
      </c>
      <c r="NQ6" s="1">
        <v>74</v>
      </c>
      <c r="NR6" s="1">
        <v>61</v>
      </c>
      <c r="NS6" s="1">
        <v>50</v>
      </c>
      <c r="NT6" s="1">
        <v>72</v>
      </c>
      <c r="NU6" s="1">
        <v>68</v>
      </c>
      <c r="NV6" s="1">
        <v>43</v>
      </c>
      <c r="NW6" s="1">
        <v>60</v>
      </c>
      <c r="NX6" s="1">
        <v>37</v>
      </c>
      <c r="NY6" s="1">
        <v>48</v>
      </c>
      <c r="NZ6" s="1">
        <v>46</v>
      </c>
      <c r="OA6" s="1">
        <v>36</v>
      </c>
      <c r="OB6" s="1">
        <v>10</v>
      </c>
    </row>
    <row r="7" spans="1:395">
      <c r="A7" s="1" t="s">
        <v>23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0</v>
      </c>
      <c r="JK7" s="1">
        <v>0</v>
      </c>
      <c r="JL7" s="1">
        <v>0</v>
      </c>
      <c r="JM7" s="1">
        <v>0</v>
      </c>
      <c r="JN7" s="1">
        <v>0</v>
      </c>
      <c r="JO7" s="1">
        <v>0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0</v>
      </c>
      <c r="LP7" s="1">
        <v>0</v>
      </c>
      <c r="LQ7" s="1">
        <v>2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1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1</v>
      </c>
      <c r="MV7" s="1">
        <v>0</v>
      </c>
      <c r="MW7" s="1">
        <v>0</v>
      </c>
      <c r="MX7" s="1">
        <v>0</v>
      </c>
      <c r="MY7" s="1">
        <v>0</v>
      </c>
      <c r="MZ7" s="1">
        <v>0</v>
      </c>
      <c r="NA7" s="1">
        <v>0</v>
      </c>
      <c r="NB7" s="1">
        <v>0</v>
      </c>
      <c r="NC7" s="1">
        <v>0</v>
      </c>
      <c r="ND7" s="1">
        <v>1</v>
      </c>
      <c r="NE7" s="1">
        <v>1</v>
      </c>
      <c r="NF7" s="1">
        <v>3</v>
      </c>
      <c r="NG7" s="1">
        <v>5</v>
      </c>
      <c r="NH7" s="1">
        <v>12</v>
      </c>
      <c r="NI7" s="1">
        <v>13</v>
      </c>
      <c r="NJ7" s="1">
        <v>28</v>
      </c>
      <c r="NK7" s="1">
        <v>28</v>
      </c>
      <c r="NL7" s="1">
        <v>40</v>
      </c>
      <c r="NM7" s="1">
        <v>32</v>
      </c>
      <c r="NN7" s="1">
        <v>32</v>
      </c>
      <c r="NO7" s="1">
        <v>42</v>
      </c>
      <c r="NP7" s="1">
        <v>37</v>
      </c>
      <c r="NQ7" s="1">
        <v>61</v>
      </c>
      <c r="NR7" s="1">
        <v>52</v>
      </c>
      <c r="NS7" s="1">
        <v>72</v>
      </c>
      <c r="NT7" s="1">
        <v>85</v>
      </c>
      <c r="NU7" s="1">
        <v>59</v>
      </c>
      <c r="NV7" s="1">
        <v>47</v>
      </c>
      <c r="NW7" s="1">
        <v>47</v>
      </c>
      <c r="NX7" s="1">
        <v>78</v>
      </c>
      <c r="NY7" s="1">
        <v>53</v>
      </c>
      <c r="NZ7" s="1">
        <v>37</v>
      </c>
      <c r="OA7" s="1">
        <v>24</v>
      </c>
      <c r="OB7" s="1">
        <v>12</v>
      </c>
    </row>
    <row r="8" spans="1:395">
      <c r="A8" s="1" t="s">
        <v>92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3</v>
      </c>
      <c r="AD8" s="1">
        <v>3</v>
      </c>
      <c r="AE8" s="1">
        <v>3</v>
      </c>
      <c r="AF8" s="1">
        <v>7</v>
      </c>
      <c r="AG8" s="1">
        <v>1</v>
      </c>
      <c r="AH8" s="1">
        <v>3</v>
      </c>
      <c r="AI8" s="1">
        <v>2</v>
      </c>
      <c r="AJ8" s="1">
        <v>2</v>
      </c>
      <c r="AK8" s="1">
        <v>0</v>
      </c>
      <c r="AL8" s="1">
        <v>1</v>
      </c>
      <c r="AM8" s="1">
        <v>0</v>
      </c>
      <c r="AN8" s="1">
        <v>1</v>
      </c>
      <c r="AO8" s="1">
        <v>0</v>
      </c>
      <c r="AP8" s="1">
        <v>1</v>
      </c>
      <c r="AQ8" s="1">
        <v>0</v>
      </c>
      <c r="AR8" s="1">
        <v>1</v>
      </c>
      <c r="AS8" s="1">
        <v>0</v>
      </c>
      <c r="AT8" s="1">
        <v>1</v>
      </c>
      <c r="AU8" s="1">
        <v>1</v>
      </c>
      <c r="AV8" s="1">
        <v>0</v>
      </c>
      <c r="AW8" s="1">
        <v>2</v>
      </c>
      <c r="AX8" s="1">
        <v>1</v>
      </c>
      <c r="AY8" s="1">
        <v>5</v>
      </c>
      <c r="AZ8" s="1">
        <v>2</v>
      </c>
      <c r="BA8" s="1">
        <v>0</v>
      </c>
      <c r="BB8" s="1">
        <v>7</v>
      </c>
      <c r="BC8" s="1">
        <v>1</v>
      </c>
      <c r="BD8" s="1">
        <v>8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2</v>
      </c>
      <c r="BL8" s="1">
        <v>2</v>
      </c>
      <c r="BM8" s="1">
        <v>0</v>
      </c>
      <c r="BN8" s="1">
        <v>0</v>
      </c>
      <c r="BO8" s="1">
        <v>1</v>
      </c>
      <c r="BP8" s="1">
        <v>1</v>
      </c>
      <c r="BQ8" s="1">
        <v>1</v>
      </c>
      <c r="BR8" s="1">
        <v>2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1</v>
      </c>
      <c r="CA8" s="1">
        <v>0</v>
      </c>
      <c r="CB8" s="1">
        <v>0</v>
      </c>
      <c r="CC8" s="1">
        <v>0</v>
      </c>
      <c r="CD8" s="1">
        <v>1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1</v>
      </c>
      <c r="CM8" s="1">
        <v>1</v>
      </c>
      <c r="CN8" s="1">
        <v>0</v>
      </c>
      <c r="CO8" s="1">
        <v>1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2</v>
      </c>
      <c r="CZ8" s="1">
        <v>0</v>
      </c>
      <c r="DA8" s="1">
        <v>0</v>
      </c>
      <c r="DB8" s="1">
        <v>0</v>
      </c>
      <c r="DC8" s="1">
        <v>0</v>
      </c>
      <c r="DD8" s="1">
        <v>1</v>
      </c>
      <c r="DE8" s="1">
        <v>0</v>
      </c>
      <c r="DF8" s="1">
        <v>2</v>
      </c>
      <c r="DG8" s="1">
        <v>0</v>
      </c>
      <c r="DH8" s="1">
        <v>0</v>
      </c>
      <c r="DI8" s="1">
        <v>0</v>
      </c>
      <c r="DJ8" s="1">
        <v>0</v>
      </c>
      <c r="DK8" s="1">
        <v>1</v>
      </c>
      <c r="DL8" s="1">
        <v>0</v>
      </c>
      <c r="DM8" s="1">
        <v>1</v>
      </c>
      <c r="DN8" s="1">
        <v>0</v>
      </c>
      <c r="DO8" s="1">
        <v>0</v>
      </c>
      <c r="DP8" s="1">
        <v>2</v>
      </c>
      <c r="DQ8" s="1">
        <v>0</v>
      </c>
      <c r="DR8" s="1">
        <v>0</v>
      </c>
      <c r="DS8" s="1">
        <v>0</v>
      </c>
      <c r="DT8" s="1">
        <v>1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1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1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1</v>
      </c>
      <c r="GQ8" s="1">
        <v>0</v>
      </c>
      <c r="GR8" s="1">
        <v>1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1</v>
      </c>
      <c r="GY8" s="1">
        <v>1</v>
      </c>
      <c r="GZ8" s="1">
        <v>2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1</v>
      </c>
      <c r="HW8" s="1">
        <v>2</v>
      </c>
      <c r="HX8" s="1">
        <v>1</v>
      </c>
      <c r="HY8" s="1">
        <v>1</v>
      </c>
      <c r="HZ8" s="1">
        <v>1</v>
      </c>
      <c r="IA8" s="1">
        <v>3</v>
      </c>
      <c r="IB8" s="1">
        <v>7</v>
      </c>
      <c r="IC8" s="1">
        <v>7</v>
      </c>
      <c r="ID8" s="1">
        <v>14</v>
      </c>
      <c r="IE8" s="1">
        <v>17</v>
      </c>
      <c r="IF8" s="1">
        <v>11</v>
      </c>
      <c r="IG8" s="1">
        <v>13</v>
      </c>
      <c r="IH8" s="1">
        <v>7</v>
      </c>
      <c r="II8" s="1">
        <v>13</v>
      </c>
      <c r="IJ8" s="1">
        <v>9</v>
      </c>
      <c r="IK8" s="1">
        <v>22</v>
      </c>
      <c r="IL8" s="1">
        <v>22</v>
      </c>
      <c r="IM8" s="1">
        <v>25</v>
      </c>
      <c r="IN8" s="1">
        <v>21</v>
      </c>
      <c r="IO8" s="1">
        <v>31</v>
      </c>
      <c r="IP8" s="1">
        <v>27</v>
      </c>
      <c r="IQ8" s="1">
        <v>36</v>
      </c>
      <c r="IR8" s="1">
        <v>36</v>
      </c>
      <c r="IS8" s="1">
        <v>6</v>
      </c>
      <c r="IT8" s="1">
        <v>1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3</v>
      </c>
      <c r="KZ8" s="1">
        <v>1</v>
      </c>
      <c r="LA8" s="1">
        <v>0</v>
      </c>
      <c r="LB8" s="1">
        <v>0</v>
      </c>
      <c r="LC8" s="1">
        <v>0</v>
      </c>
      <c r="LD8" s="1">
        <v>1</v>
      </c>
      <c r="LE8" s="1">
        <v>0</v>
      </c>
      <c r="LF8" s="1">
        <v>0</v>
      </c>
      <c r="LG8" s="1">
        <v>1</v>
      </c>
      <c r="LH8" s="1">
        <v>0</v>
      </c>
      <c r="LI8" s="1">
        <v>1</v>
      </c>
      <c r="LJ8" s="1">
        <v>1</v>
      </c>
      <c r="LK8" s="1">
        <v>2</v>
      </c>
      <c r="LL8" s="1">
        <v>1</v>
      </c>
      <c r="LM8" s="1">
        <v>2</v>
      </c>
      <c r="LN8" s="1">
        <v>0</v>
      </c>
      <c r="LO8" s="1">
        <v>3</v>
      </c>
      <c r="LP8" s="1">
        <v>1</v>
      </c>
      <c r="LQ8" s="1">
        <v>4</v>
      </c>
      <c r="LR8" s="1">
        <v>3</v>
      </c>
      <c r="LS8" s="1">
        <v>4</v>
      </c>
      <c r="LT8" s="1">
        <v>6</v>
      </c>
      <c r="LU8" s="1">
        <v>5</v>
      </c>
      <c r="LV8" s="1">
        <v>32</v>
      </c>
      <c r="LW8" s="1">
        <v>10</v>
      </c>
      <c r="LX8" s="1">
        <v>13</v>
      </c>
      <c r="LY8" s="1">
        <v>14</v>
      </c>
      <c r="LZ8" s="1">
        <v>6</v>
      </c>
      <c r="MA8" s="1">
        <v>21</v>
      </c>
    </row>
    <row r="9" spans="1:395">
      <c r="A9" s="1" t="s">
        <v>93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11</v>
      </c>
      <c r="AD9" s="1">
        <v>9</v>
      </c>
      <c r="AE9" s="1">
        <v>9</v>
      </c>
      <c r="AF9" s="1">
        <v>4</v>
      </c>
      <c r="AG9" s="1">
        <v>4</v>
      </c>
      <c r="AH9" s="1">
        <v>4</v>
      </c>
      <c r="AI9" s="1">
        <v>4</v>
      </c>
      <c r="AJ9" s="1">
        <v>7</v>
      </c>
      <c r="AK9" s="1">
        <v>2</v>
      </c>
      <c r="AL9" s="1">
        <v>8</v>
      </c>
      <c r="AM9" s="1">
        <v>5</v>
      </c>
      <c r="AN9" s="1">
        <v>4</v>
      </c>
      <c r="AO9" s="1">
        <v>2</v>
      </c>
      <c r="AP9" s="1">
        <v>4</v>
      </c>
      <c r="AQ9" s="1">
        <v>7</v>
      </c>
      <c r="AR9" s="1">
        <v>8</v>
      </c>
      <c r="AS9" s="1">
        <v>5</v>
      </c>
      <c r="AT9" s="1">
        <v>2</v>
      </c>
      <c r="AU9" s="1">
        <v>6</v>
      </c>
      <c r="AV9" s="1">
        <v>4</v>
      </c>
      <c r="AW9" s="1">
        <v>6</v>
      </c>
      <c r="AX9" s="1">
        <v>4</v>
      </c>
      <c r="AY9" s="1">
        <v>5</v>
      </c>
      <c r="AZ9" s="1">
        <v>6</v>
      </c>
      <c r="BA9" s="1">
        <v>7</v>
      </c>
      <c r="BB9" s="1">
        <v>4</v>
      </c>
      <c r="BC9" s="1">
        <v>2</v>
      </c>
      <c r="BD9" s="1">
        <v>4</v>
      </c>
      <c r="BE9" s="1">
        <v>5</v>
      </c>
      <c r="BF9" s="1">
        <v>4</v>
      </c>
      <c r="BG9" s="1">
        <v>6</v>
      </c>
      <c r="BH9" s="1">
        <v>12</v>
      </c>
      <c r="BI9" s="1">
        <v>6</v>
      </c>
      <c r="BJ9" s="1">
        <v>8</v>
      </c>
      <c r="BK9" s="1">
        <v>11</v>
      </c>
      <c r="BL9" s="1">
        <v>8</v>
      </c>
      <c r="BM9" s="1">
        <v>4</v>
      </c>
      <c r="BN9" s="1">
        <v>6</v>
      </c>
      <c r="BO9" s="1">
        <v>3</v>
      </c>
      <c r="BP9" s="1">
        <v>3</v>
      </c>
      <c r="BQ9" s="1">
        <v>7</v>
      </c>
      <c r="BR9" s="1">
        <v>10</v>
      </c>
      <c r="BS9" s="1">
        <v>5</v>
      </c>
      <c r="BT9" s="1">
        <v>5</v>
      </c>
      <c r="BU9" s="1">
        <v>9</v>
      </c>
      <c r="BV9" s="1">
        <v>6</v>
      </c>
      <c r="BW9" s="1">
        <v>4</v>
      </c>
      <c r="BX9" s="1">
        <v>7</v>
      </c>
      <c r="BY9" s="1">
        <v>6</v>
      </c>
      <c r="BZ9" s="1">
        <v>3</v>
      </c>
      <c r="CA9" s="1">
        <v>9</v>
      </c>
      <c r="CB9" s="1">
        <v>8</v>
      </c>
      <c r="CC9" s="1">
        <v>1</v>
      </c>
      <c r="CD9" s="1">
        <v>2</v>
      </c>
      <c r="CE9" s="1">
        <v>5</v>
      </c>
      <c r="CF9" s="1">
        <v>3</v>
      </c>
      <c r="CG9" s="1">
        <v>0</v>
      </c>
      <c r="CH9" s="1">
        <v>3</v>
      </c>
      <c r="CI9" s="1">
        <v>5</v>
      </c>
      <c r="CJ9" s="1">
        <v>2</v>
      </c>
      <c r="CK9" s="1">
        <v>4</v>
      </c>
      <c r="CL9" s="1">
        <v>1</v>
      </c>
      <c r="CM9" s="1">
        <v>4</v>
      </c>
      <c r="CN9" s="1">
        <v>11</v>
      </c>
      <c r="CO9" s="1">
        <v>4</v>
      </c>
      <c r="CP9" s="1">
        <v>1</v>
      </c>
      <c r="CQ9" s="1">
        <v>4</v>
      </c>
      <c r="CR9" s="1">
        <v>4</v>
      </c>
      <c r="CS9" s="1">
        <v>0</v>
      </c>
      <c r="CT9" s="1">
        <v>1</v>
      </c>
      <c r="CU9" s="1">
        <v>5</v>
      </c>
      <c r="CV9" s="1">
        <v>3</v>
      </c>
      <c r="CW9" s="1">
        <v>4</v>
      </c>
      <c r="CX9" s="1">
        <v>5</v>
      </c>
      <c r="CY9" s="1">
        <v>4</v>
      </c>
      <c r="CZ9" s="1">
        <v>13</v>
      </c>
      <c r="DA9" s="1">
        <v>7</v>
      </c>
      <c r="DB9" s="1">
        <v>11</v>
      </c>
      <c r="DC9" s="1">
        <v>15</v>
      </c>
      <c r="DD9" s="1">
        <v>8</v>
      </c>
      <c r="DE9" s="1">
        <v>4</v>
      </c>
      <c r="DF9" s="1">
        <v>9</v>
      </c>
      <c r="DG9" s="1">
        <v>6</v>
      </c>
      <c r="DH9" s="1">
        <v>5</v>
      </c>
      <c r="DI9" s="1">
        <v>8</v>
      </c>
      <c r="DJ9" s="1">
        <v>13</v>
      </c>
      <c r="DK9" s="1">
        <v>6</v>
      </c>
      <c r="DL9" s="1">
        <v>7</v>
      </c>
      <c r="DM9" s="1">
        <v>3</v>
      </c>
      <c r="DN9" s="1">
        <v>11</v>
      </c>
      <c r="DO9" s="1">
        <v>5</v>
      </c>
      <c r="DP9" s="1">
        <v>9</v>
      </c>
      <c r="DQ9" s="1">
        <v>9</v>
      </c>
      <c r="DR9" s="1">
        <v>8</v>
      </c>
      <c r="DS9" s="1">
        <v>2</v>
      </c>
      <c r="DT9" s="1">
        <v>5</v>
      </c>
      <c r="DU9" s="1">
        <v>5</v>
      </c>
      <c r="DV9" s="1">
        <v>5</v>
      </c>
      <c r="DW9" s="1">
        <v>5</v>
      </c>
      <c r="DX9" s="1">
        <v>11</v>
      </c>
      <c r="DY9" s="1">
        <v>3</v>
      </c>
      <c r="DZ9" s="1">
        <v>5</v>
      </c>
      <c r="EA9" s="1">
        <v>3</v>
      </c>
      <c r="EB9" s="1">
        <v>5</v>
      </c>
      <c r="EC9" s="1">
        <v>10</v>
      </c>
      <c r="ED9" s="1">
        <v>2</v>
      </c>
      <c r="EE9" s="1">
        <v>6</v>
      </c>
      <c r="EF9" s="1">
        <v>5</v>
      </c>
      <c r="EG9" s="1">
        <v>1</v>
      </c>
      <c r="EH9" s="1">
        <v>2</v>
      </c>
      <c r="EI9" s="1">
        <v>10</v>
      </c>
      <c r="EJ9" s="1">
        <v>1</v>
      </c>
      <c r="EK9" s="1">
        <v>4</v>
      </c>
      <c r="EL9" s="1">
        <v>1</v>
      </c>
      <c r="EM9" s="1">
        <v>7</v>
      </c>
      <c r="EN9" s="1">
        <v>2</v>
      </c>
      <c r="EO9" s="1">
        <v>5</v>
      </c>
      <c r="EP9" s="1">
        <v>10</v>
      </c>
      <c r="EQ9" s="1">
        <v>1</v>
      </c>
      <c r="ER9" s="1">
        <v>0</v>
      </c>
      <c r="ES9" s="1">
        <v>4</v>
      </c>
      <c r="ET9" s="1">
        <v>2</v>
      </c>
      <c r="EU9" s="1">
        <v>0</v>
      </c>
      <c r="EV9" s="1">
        <v>1</v>
      </c>
      <c r="EW9" s="1">
        <v>2</v>
      </c>
      <c r="EX9" s="1">
        <v>4</v>
      </c>
      <c r="EY9" s="1">
        <v>2</v>
      </c>
      <c r="EZ9" s="1">
        <v>12</v>
      </c>
      <c r="FA9" s="1">
        <v>4</v>
      </c>
      <c r="FB9" s="1">
        <v>2</v>
      </c>
      <c r="FC9" s="1">
        <v>1</v>
      </c>
      <c r="FD9" s="1">
        <v>5</v>
      </c>
      <c r="FE9" s="1">
        <v>3</v>
      </c>
      <c r="FF9" s="1">
        <v>2</v>
      </c>
      <c r="FG9" s="1">
        <v>8</v>
      </c>
      <c r="FH9" s="1">
        <v>6</v>
      </c>
      <c r="FI9" s="1">
        <v>1</v>
      </c>
      <c r="FJ9" s="1">
        <v>0</v>
      </c>
      <c r="FK9" s="1">
        <v>4</v>
      </c>
      <c r="FL9" s="1">
        <v>2</v>
      </c>
      <c r="FM9" s="1">
        <v>3</v>
      </c>
      <c r="FN9" s="1">
        <v>5</v>
      </c>
      <c r="FO9" s="1">
        <v>0</v>
      </c>
      <c r="FP9" s="1">
        <v>4</v>
      </c>
      <c r="FQ9" s="1">
        <v>1</v>
      </c>
      <c r="FR9" s="1">
        <v>6</v>
      </c>
      <c r="FS9" s="1">
        <v>3</v>
      </c>
      <c r="FT9" s="1">
        <v>3</v>
      </c>
      <c r="FU9" s="1">
        <v>3</v>
      </c>
      <c r="FV9" s="1">
        <v>2</v>
      </c>
      <c r="FW9" s="1">
        <v>4</v>
      </c>
      <c r="FX9" s="1">
        <v>2</v>
      </c>
      <c r="FY9" s="1">
        <v>5</v>
      </c>
      <c r="FZ9" s="1">
        <v>0</v>
      </c>
      <c r="GA9" s="1">
        <v>13</v>
      </c>
      <c r="GB9">
        <v>11</v>
      </c>
      <c r="GC9" s="1">
        <v>1</v>
      </c>
      <c r="GD9" s="1">
        <v>8</v>
      </c>
      <c r="GE9" s="1">
        <v>14</v>
      </c>
      <c r="GF9" s="1">
        <v>3</v>
      </c>
      <c r="GG9" s="1">
        <v>5</v>
      </c>
      <c r="GH9" s="1">
        <v>4</v>
      </c>
      <c r="GI9" s="1">
        <v>16</v>
      </c>
      <c r="GJ9" s="1">
        <v>2</v>
      </c>
      <c r="GK9" s="1">
        <v>4</v>
      </c>
      <c r="GL9" s="1">
        <v>8</v>
      </c>
      <c r="GM9" s="1">
        <v>18</v>
      </c>
      <c r="GN9" s="1">
        <v>2</v>
      </c>
      <c r="GO9" s="1">
        <v>2</v>
      </c>
      <c r="GP9" s="1">
        <v>7</v>
      </c>
      <c r="GQ9" s="1">
        <v>5</v>
      </c>
      <c r="GR9" s="1">
        <v>2</v>
      </c>
      <c r="GS9" s="1">
        <v>1</v>
      </c>
      <c r="GT9" s="1">
        <v>0</v>
      </c>
      <c r="GU9" s="1">
        <v>1</v>
      </c>
      <c r="GV9" s="1">
        <v>4</v>
      </c>
      <c r="GW9" s="1">
        <v>0</v>
      </c>
      <c r="GX9" s="1">
        <v>0</v>
      </c>
      <c r="GY9" s="1">
        <v>1</v>
      </c>
      <c r="GZ9" s="1">
        <v>2</v>
      </c>
      <c r="HA9" s="1">
        <v>0</v>
      </c>
      <c r="HB9" s="1">
        <v>0</v>
      </c>
      <c r="HC9" s="1">
        <v>2</v>
      </c>
      <c r="HD9" s="1">
        <v>1</v>
      </c>
      <c r="HE9" s="1">
        <v>1</v>
      </c>
      <c r="HF9" s="1">
        <v>2</v>
      </c>
      <c r="HG9" s="1">
        <v>2</v>
      </c>
      <c r="HH9" s="1">
        <v>0</v>
      </c>
      <c r="HI9" s="1">
        <v>0</v>
      </c>
      <c r="HJ9" s="1">
        <v>0</v>
      </c>
      <c r="HK9" s="1">
        <v>4</v>
      </c>
      <c r="HL9" s="1">
        <v>1</v>
      </c>
      <c r="HM9" s="1">
        <v>3</v>
      </c>
      <c r="HN9" s="1">
        <v>3</v>
      </c>
      <c r="HO9" s="1">
        <v>1</v>
      </c>
      <c r="HP9" s="1">
        <v>2</v>
      </c>
      <c r="HQ9" s="1">
        <v>0</v>
      </c>
      <c r="HR9" s="1">
        <v>1</v>
      </c>
      <c r="HS9" s="1">
        <v>3</v>
      </c>
      <c r="HT9" s="1">
        <v>0</v>
      </c>
      <c r="HU9" s="1">
        <v>2</v>
      </c>
      <c r="HV9" s="1">
        <v>0</v>
      </c>
      <c r="HW9" s="1">
        <v>1</v>
      </c>
      <c r="HX9" s="1">
        <v>1</v>
      </c>
      <c r="HY9" s="1">
        <v>2</v>
      </c>
      <c r="HZ9" s="1">
        <v>1</v>
      </c>
      <c r="IA9" s="1">
        <v>0</v>
      </c>
      <c r="IB9" s="1">
        <v>4</v>
      </c>
      <c r="IC9" s="1">
        <v>1</v>
      </c>
      <c r="ID9" s="1">
        <v>1</v>
      </c>
      <c r="IE9" s="1">
        <v>1</v>
      </c>
      <c r="IF9" s="1">
        <v>2</v>
      </c>
      <c r="IG9" s="1">
        <v>0</v>
      </c>
      <c r="IH9" s="1">
        <v>2</v>
      </c>
      <c r="II9" s="1">
        <v>0</v>
      </c>
      <c r="IJ9" s="1">
        <v>3</v>
      </c>
      <c r="IK9" s="1">
        <v>0</v>
      </c>
      <c r="IL9" s="1">
        <v>1</v>
      </c>
      <c r="IM9" s="1">
        <v>0</v>
      </c>
      <c r="IN9" s="1">
        <v>2</v>
      </c>
      <c r="IO9" s="1">
        <v>0</v>
      </c>
      <c r="IP9" s="1">
        <v>3</v>
      </c>
      <c r="IQ9" s="1">
        <v>1</v>
      </c>
      <c r="IR9" s="1">
        <v>1</v>
      </c>
      <c r="IS9" s="1">
        <v>1</v>
      </c>
      <c r="IT9" s="1">
        <v>5</v>
      </c>
      <c r="IU9" s="1">
        <v>6</v>
      </c>
      <c r="IV9" s="1">
        <v>0</v>
      </c>
      <c r="IW9" s="1">
        <v>0</v>
      </c>
      <c r="IX9" s="1">
        <v>1</v>
      </c>
      <c r="IY9" s="1">
        <v>0</v>
      </c>
      <c r="IZ9" s="1">
        <v>0</v>
      </c>
      <c r="JA9" s="1">
        <v>4</v>
      </c>
      <c r="JB9" s="1">
        <v>0</v>
      </c>
      <c r="JC9" s="1">
        <v>0</v>
      </c>
      <c r="JD9" s="1">
        <v>1</v>
      </c>
      <c r="JE9" s="1">
        <v>0</v>
      </c>
      <c r="JF9" s="1">
        <v>0</v>
      </c>
      <c r="JG9" s="1">
        <v>1</v>
      </c>
      <c r="JH9" s="1">
        <v>0</v>
      </c>
      <c r="JI9" s="1">
        <v>1</v>
      </c>
      <c r="JJ9" s="1">
        <v>1</v>
      </c>
      <c r="JK9" s="1">
        <v>1</v>
      </c>
      <c r="JL9" s="1">
        <v>0</v>
      </c>
      <c r="JM9" s="1">
        <v>1</v>
      </c>
      <c r="JN9" s="1">
        <v>0</v>
      </c>
      <c r="JO9" s="1">
        <v>0</v>
      </c>
      <c r="JP9" s="1">
        <v>1</v>
      </c>
      <c r="JQ9" s="1">
        <v>0</v>
      </c>
      <c r="JR9" s="1">
        <v>0</v>
      </c>
      <c r="JS9" s="1">
        <v>1</v>
      </c>
      <c r="JT9" s="1">
        <v>0</v>
      </c>
      <c r="JU9" s="1">
        <v>5</v>
      </c>
      <c r="JV9" s="1">
        <v>0</v>
      </c>
      <c r="JW9" s="1">
        <v>1</v>
      </c>
      <c r="JX9" s="1">
        <v>1</v>
      </c>
      <c r="JY9" s="1">
        <v>0</v>
      </c>
      <c r="JZ9" s="1">
        <v>0</v>
      </c>
      <c r="KA9" s="1">
        <v>2</v>
      </c>
      <c r="KB9" s="1">
        <v>0</v>
      </c>
      <c r="KC9" s="1">
        <v>0</v>
      </c>
      <c r="KD9" s="1">
        <v>1</v>
      </c>
      <c r="KE9" s="1">
        <v>0</v>
      </c>
      <c r="KF9" s="1">
        <v>1</v>
      </c>
      <c r="KG9" s="1">
        <v>2</v>
      </c>
      <c r="KH9" s="1">
        <v>1</v>
      </c>
      <c r="KI9" s="1">
        <v>0</v>
      </c>
      <c r="KJ9" s="1">
        <v>5</v>
      </c>
      <c r="KK9" s="1">
        <v>2</v>
      </c>
      <c r="KL9" s="1">
        <v>1</v>
      </c>
      <c r="KM9" s="1">
        <v>2</v>
      </c>
      <c r="KN9" s="1">
        <v>0</v>
      </c>
      <c r="KO9" s="1">
        <v>1</v>
      </c>
      <c r="KP9" s="1">
        <v>0</v>
      </c>
      <c r="KQ9" s="1">
        <v>1</v>
      </c>
      <c r="KR9" s="1">
        <v>1</v>
      </c>
      <c r="KS9" s="1">
        <v>1</v>
      </c>
      <c r="KT9" s="1">
        <v>0</v>
      </c>
      <c r="KU9" s="1">
        <v>3</v>
      </c>
      <c r="KV9" s="1">
        <v>7</v>
      </c>
      <c r="KW9" s="1">
        <v>0</v>
      </c>
      <c r="KX9" s="1">
        <v>0</v>
      </c>
      <c r="KY9" s="1">
        <v>6</v>
      </c>
      <c r="KZ9" s="1">
        <v>4</v>
      </c>
      <c r="LA9" s="1">
        <v>0</v>
      </c>
      <c r="LB9" s="1">
        <v>11</v>
      </c>
      <c r="LC9" s="1">
        <v>52</v>
      </c>
      <c r="LD9" s="1">
        <v>0</v>
      </c>
      <c r="LE9" s="1">
        <v>3</v>
      </c>
      <c r="LF9" s="1">
        <v>9</v>
      </c>
      <c r="LG9" s="1">
        <v>5</v>
      </c>
      <c r="LH9" s="1">
        <v>2</v>
      </c>
      <c r="LI9" s="1">
        <v>5</v>
      </c>
      <c r="LJ9" s="1">
        <v>2</v>
      </c>
      <c r="LK9" s="1">
        <v>3</v>
      </c>
      <c r="LL9" s="1">
        <v>4</v>
      </c>
      <c r="LM9" s="1">
        <v>6</v>
      </c>
      <c r="LN9" s="1">
        <v>7</v>
      </c>
      <c r="LO9" s="1">
        <v>11</v>
      </c>
      <c r="LP9" s="1">
        <v>6</v>
      </c>
      <c r="LQ9" s="1">
        <v>7</v>
      </c>
      <c r="LR9" s="1">
        <v>17</v>
      </c>
      <c r="LS9" s="1">
        <v>17</v>
      </c>
      <c r="LT9" s="1">
        <v>18</v>
      </c>
      <c r="LU9" s="1">
        <v>19</v>
      </c>
      <c r="LV9" s="1">
        <v>10</v>
      </c>
      <c r="LW9" s="1">
        <v>10</v>
      </c>
      <c r="LX9" s="1">
        <v>14</v>
      </c>
      <c r="LY9" s="1">
        <v>9</v>
      </c>
      <c r="LZ9" s="1">
        <v>8</v>
      </c>
      <c r="MA9" s="1">
        <v>2</v>
      </c>
    </row>
    <row r="10" spans="1:395">
      <c r="A10" s="1" t="s">
        <v>111</v>
      </c>
      <c r="B10" s="1">
        <v>10820</v>
      </c>
      <c r="C10" s="1">
        <v>10812</v>
      </c>
      <c r="D10" s="1">
        <v>10796</v>
      </c>
      <c r="E10" s="1">
        <v>10788</v>
      </c>
      <c r="F10" s="1">
        <v>10779</v>
      </c>
      <c r="G10" s="1">
        <v>10767</v>
      </c>
      <c r="H10" s="1">
        <v>10755</v>
      </c>
      <c r="I10" s="1">
        <v>10731</v>
      </c>
      <c r="J10" s="1">
        <v>10710</v>
      </c>
      <c r="K10" s="1">
        <v>10693</v>
      </c>
      <c r="L10" s="1">
        <v>10667</v>
      </c>
      <c r="M10" s="1">
        <v>10635</v>
      </c>
      <c r="N10" s="1">
        <v>10608</v>
      </c>
      <c r="O10" s="1">
        <v>10589</v>
      </c>
      <c r="P10" s="1">
        <v>10552</v>
      </c>
      <c r="Q10" s="1">
        <v>10530</v>
      </c>
      <c r="R10" s="1">
        <v>10511</v>
      </c>
      <c r="S10" s="1">
        <v>10486</v>
      </c>
      <c r="T10" s="1">
        <v>10452</v>
      </c>
      <c r="U10" s="1">
        <v>10399</v>
      </c>
      <c r="V10" s="1">
        <v>10371</v>
      </c>
      <c r="W10" s="1">
        <v>10321</v>
      </c>
      <c r="X10" s="1">
        <v>10282</v>
      </c>
      <c r="Y10" s="1">
        <v>10222</v>
      </c>
      <c r="Z10" s="1">
        <v>10158</v>
      </c>
      <c r="AA10" s="1">
        <v>10085</v>
      </c>
      <c r="AB10" s="1">
        <v>10009</v>
      </c>
      <c r="AC10" s="1">
        <v>9928</v>
      </c>
      <c r="AD10" s="1">
        <v>9867</v>
      </c>
      <c r="AE10" s="1">
        <v>9797</v>
      </c>
      <c r="AF10" s="1">
        <v>9720</v>
      </c>
      <c r="AG10" s="1">
        <v>9664</v>
      </c>
      <c r="AH10" s="1">
        <v>9557</v>
      </c>
      <c r="AI10" s="1">
        <v>9502</v>
      </c>
      <c r="AJ10" s="1">
        <v>9452</v>
      </c>
      <c r="AK10" s="1">
        <v>9414</v>
      </c>
      <c r="AL10" s="1">
        <v>9385</v>
      </c>
      <c r="AM10" s="1">
        <v>9343</v>
      </c>
      <c r="AN10" s="1">
        <v>9283</v>
      </c>
      <c r="AO10" s="1">
        <v>9242</v>
      </c>
      <c r="AP10" s="1">
        <v>9211</v>
      </c>
      <c r="AQ10" s="1">
        <v>9152</v>
      </c>
      <c r="AR10" s="1">
        <v>9107</v>
      </c>
      <c r="AS10" s="1">
        <v>9074</v>
      </c>
      <c r="AT10" s="1">
        <v>9049</v>
      </c>
      <c r="AU10" s="1">
        <v>9017</v>
      </c>
      <c r="AV10" s="1">
        <v>8964</v>
      </c>
      <c r="AW10" s="1">
        <v>8923</v>
      </c>
      <c r="AX10" s="1">
        <v>8888</v>
      </c>
      <c r="AY10" s="1">
        <v>8846</v>
      </c>
      <c r="AZ10" s="1">
        <v>8778</v>
      </c>
      <c r="BA10" s="1">
        <v>8724</v>
      </c>
      <c r="BB10" s="1">
        <v>8671</v>
      </c>
      <c r="BC10" s="1">
        <v>8610</v>
      </c>
      <c r="BD10" s="1">
        <v>8540</v>
      </c>
      <c r="BE10" s="1">
        <v>8481</v>
      </c>
      <c r="BF10" s="1">
        <v>8424</v>
      </c>
      <c r="BG10" s="1">
        <v>8353</v>
      </c>
      <c r="BH10" s="1">
        <v>8300</v>
      </c>
      <c r="BI10" s="1">
        <v>8237</v>
      </c>
      <c r="BJ10" s="1">
        <v>8152</v>
      </c>
      <c r="BK10" s="1">
        <v>8078</v>
      </c>
      <c r="BL10" s="1">
        <v>7969</v>
      </c>
      <c r="BM10" s="1">
        <v>7899</v>
      </c>
      <c r="BN10" s="1">
        <v>7803</v>
      </c>
      <c r="BO10" s="1">
        <v>7721</v>
      </c>
      <c r="BP10" s="1">
        <v>7623</v>
      </c>
      <c r="BQ10" s="1">
        <v>7541</v>
      </c>
      <c r="BR10" s="1">
        <v>7446</v>
      </c>
      <c r="BS10" s="1">
        <v>7377</v>
      </c>
      <c r="BT10" s="1">
        <v>7291</v>
      </c>
      <c r="BU10" s="1">
        <v>7179</v>
      </c>
      <c r="BV10" s="1">
        <v>7075</v>
      </c>
      <c r="BW10" s="1">
        <v>6975</v>
      </c>
      <c r="BX10" s="1">
        <v>6897</v>
      </c>
      <c r="BY10" s="1">
        <v>6802</v>
      </c>
      <c r="BZ10" s="1">
        <v>6701</v>
      </c>
      <c r="CA10" s="1">
        <v>6589</v>
      </c>
      <c r="CB10" s="1">
        <v>6499</v>
      </c>
      <c r="CC10" s="1">
        <v>6396</v>
      </c>
      <c r="CD10" s="1">
        <v>6314</v>
      </c>
      <c r="CE10" s="1">
        <v>6238</v>
      </c>
      <c r="CF10" s="1">
        <v>6123</v>
      </c>
      <c r="CG10" s="1">
        <v>6039</v>
      </c>
      <c r="CH10" s="1">
        <v>5947</v>
      </c>
      <c r="CI10" s="1">
        <v>5866</v>
      </c>
      <c r="CJ10" s="1">
        <v>5781</v>
      </c>
      <c r="CK10" s="1">
        <v>5701</v>
      </c>
      <c r="CL10" s="1">
        <v>5628</v>
      </c>
      <c r="CM10" s="1">
        <v>5560</v>
      </c>
      <c r="CN10" s="1">
        <v>5517</v>
      </c>
      <c r="CO10" s="1">
        <v>5491</v>
      </c>
      <c r="CP10" s="1">
        <v>5479</v>
      </c>
      <c r="CQ10" s="1">
        <v>5470</v>
      </c>
      <c r="CR10" s="1">
        <v>5466</v>
      </c>
      <c r="CS10" s="1">
        <v>5458</v>
      </c>
      <c r="CT10" s="1">
        <v>5444</v>
      </c>
      <c r="CU10" s="1">
        <v>5436</v>
      </c>
      <c r="CV10" s="1">
        <v>5430</v>
      </c>
      <c r="CW10" s="1">
        <v>5407</v>
      </c>
      <c r="CX10" s="1">
        <v>5389</v>
      </c>
      <c r="CY10" s="1">
        <v>5380</v>
      </c>
      <c r="CZ10" s="1">
        <v>5374</v>
      </c>
      <c r="DA10" s="1">
        <v>5364</v>
      </c>
      <c r="DB10" s="1">
        <v>5361</v>
      </c>
      <c r="DC10" s="1">
        <v>5355</v>
      </c>
      <c r="DD10" s="1">
        <v>5348</v>
      </c>
      <c r="DE10" s="1">
        <v>5345</v>
      </c>
      <c r="DF10" s="1">
        <v>5336</v>
      </c>
      <c r="DG10" s="1">
        <v>5330</v>
      </c>
      <c r="DH10" s="1">
        <v>5323</v>
      </c>
      <c r="DI10" s="1">
        <v>5320</v>
      </c>
      <c r="DJ10" s="1">
        <v>5313</v>
      </c>
      <c r="DK10" s="1">
        <v>5310</v>
      </c>
      <c r="DL10" s="1">
        <v>5308</v>
      </c>
      <c r="DM10" s="1">
        <v>5303</v>
      </c>
      <c r="DN10" s="1">
        <v>5295</v>
      </c>
      <c r="DO10" s="1">
        <v>5289</v>
      </c>
      <c r="DP10" s="1">
        <v>5284</v>
      </c>
      <c r="DQ10" s="1">
        <v>5280</v>
      </c>
      <c r="DR10" s="1">
        <v>5269</v>
      </c>
      <c r="DS10" s="1">
        <v>5261</v>
      </c>
      <c r="DT10" s="1">
        <v>5256</v>
      </c>
      <c r="DU10" s="1">
        <v>5241</v>
      </c>
      <c r="DV10" s="1">
        <v>5237</v>
      </c>
      <c r="DW10" s="1">
        <v>5220</v>
      </c>
      <c r="DX10" s="1">
        <v>5213</v>
      </c>
      <c r="DY10" s="1">
        <v>5201</v>
      </c>
      <c r="DZ10" s="1">
        <v>5201</v>
      </c>
      <c r="EA10" s="1">
        <v>5193</v>
      </c>
      <c r="EB10" s="1">
        <v>5182</v>
      </c>
      <c r="EC10" s="1">
        <v>5175</v>
      </c>
      <c r="ED10" s="1">
        <v>5169</v>
      </c>
      <c r="EE10" s="1">
        <v>5161</v>
      </c>
      <c r="EF10" s="1">
        <v>5143</v>
      </c>
      <c r="EG10" s="1">
        <v>5132</v>
      </c>
      <c r="EH10" s="1">
        <v>5124</v>
      </c>
      <c r="EI10" s="1">
        <v>5113</v>
      </c>
      <c r="EJ10" s="1">
        <v>5108</v>
      </c>
      <c r="EK10" s="1">
        <v>5104</v>
      </c>
      <c r="EL10" s="1">
        <v>5097</v>
      </c>
      <c r="EM10" s="1">
        <v>5087</v>
      </c>
      <c r="EN10" s="1">
        <v>5079</v>
      </c>
      <c r="EO10" s="1">
        <v>5075</v>
      </c>
      <c r="EP10" s="1">
        <v>5065</v>
      </c>
      <c r="EQ10" s="1">
        <v>5059</v>
      </c>
      <c r="ER10" s="1">
        <v>5058</v>
      </c>
      <c r="ES10" s="1">
        <v>5056</v>
      </c>
      <c r="ET10" s="1">
        <v>5049</v>
      </c>
      <c r="EU10" s="1">
        <v>5046</v>
      </c>
      <c r="EV10" s="1">
        <v>5038</v>
      </c>
      <c r="EW10" s="1">
        <v>5032</v>
      </c>
      <c r="EX10" s="1">
        <v>5009</v>
      </c>
      <c r="EY10" s="1">
        <v>4996</v>
      </c>
      <c r="EZ10" s="1">
        <v>4993</v>
      </c>
      <c r="FA10" s="1">
        <v>4984</v>
      </c>
      <c r="FB10" s="1">
        <v>4975</v>
      </c>
      <c r="FC10" s="1">
        <v>4971</v>
      </c>
      <c r="FD10" s="1">
        <v>4957</v>
      </c>
      <c r="FE10" s="1">
        <v>4938</v>
      </c>
      <c r="FF10" s="1">
        <v>4925</v>
      </c>
      <c r="FG10" s="1">
        <v>4913</v>
      </c>
      <c r="FH10" s="1">
        <v>4901</v>
      </c>
      <c r="FI10" s="1">
        <v>4895</v>
      </c>
      <c r="FJ10" s="1">
        <v>4889</v>
      </c>
      <c r="FK10" s="1">
        <v>4878</v>
      </c>
      <c r="FL10" s="1">
        <v>4857</v>
      </c>
      <c r="FM10" s="1">
        <v>4850</v>
      </c>
      <c r="FN10" s="1">
        <v>4838</v>
      </c>
      <c r="FO10" s="1">
        <v>4830</v>
      </c>
      <c r="FP10" s="1">
        <v>4822</v>
      </c>
      <c r="FQ10" s="1">
        <v>4810</v>
      </c>
      <c r="FR10" s="1">
        <v>4801</v>
      </c>
      <c r="FS10" s="1">
        <v>4786</v>
      </c>
      <c r="FT10" s="1">
        <v>4768</v>
      </c>
      <c r="FU10" s="1">
        <v>4755</v>
      </c>
      <c r="FV10" s="1">
        <v>4734</v>
      </c>
      <c r="FW10" s="1">
        <v>4710</v>
      </c>
      <c r="FX10" s="1">
        <v>4691</v>
      </c>
      <c r="FY10" s="1">
        <v>4682</v>
      </c>
      <c r="FZ10" s="1">
        <v>4657</v>
      </c>
      <c r="GA10" s="1">
        <v>4631</v>
      </c>
      <c r="GB10">
        <v>4604</v>
      </c>
      <c r="GC10" s="1">
        <v>4586</v>
      </c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</row>
    <row r="11" spans="1:395" ht="18.75" customHeight="1">
      <c r="A11" s="1" t="s">
        <v>112</v>
      </c>
      <c r="B11" s="1">
        <v>48</v>
      </c>
      <c r="C11" s="1">
        <v>48</v>
      </c>
      <c r="D11" s="1">
        <v>48</v>
      </c>
      <c r="E11" s="1">
        <v>48</v>
      </c>
      <c r="F11" s="1">
        <v>48</v>
      </c>
      <c r="G11" s="1">
        <v>48</v>
      </c>
      <c r="H11" s="1">
        <v>48</v>
      </c>
      <c r="I11" s="1">
        <v>48</v>
      </c>
      <c r="J11" s="1">
        <v>48</v>
      </c>
      <c r="K11" s="1">
        <v>48</v>
      </c>
      <c r="L11" s="1">
        <v>48</v>
      </c>
      <c r="M11" s="1">
        <v>48</v>
      </c>
      <c r="N11" s="1">
        <v>48</v>
      </c>
      <c r="O11" s="1">
        <v>48</v>
      </c>
      <c r="P11" s="1">
        <v>47</v>
      </c>
      <c r="Q11" s="1">
        <v>47</v>
      </c>
      <c r="R11" s="1">
        <v>47</v>
      </c>
      <c r="S11" s="1">
        <v>47</v>
      </c>
      <c r="T11" s="1">
        <v>47</v>
      </c>
      <c r="U11" s="1">
        <v>47</v>
      </c>
      <c r="V11" s="1">
        <v>47</v>
      </c>
      <c r="W11" s="1">
        <v>47</v>
      </c>
      <c r="X11" s="1">
        <v>47</v>
      </c>
      <c r="Y11" s="1">
        <v>47</v>
      </c>
      <c r="Z11" s="1">
        <v>47</v>
      </c>
      <c r="AA11" s="1">
        <v>47</v>
      </c>
      <c r="AB11" s="1">
        <v>47</v>
      </c>
      <c r="AC11" s="1">
        <v>47</v>
      </c>
      <c r="AD11" s="1">
        <v>46</v>
      </c>
      <c r="AE11" s="1">
        <v>46</v>
      </c>
      <c r="AF11" s="1">
        <v>46</v>
      </c>
      <c r="AG11" s="1">
        <v>46</v>
      </c>
      <c r="AH11" s="1">
        <v>46</v>
      </c>
      <c r="AI11" s="1">
        <v>46</v>
      </c>
      <c r="AJ11" s="1">
        <v>46</v>
      </c>
      <c r="AK11" s="1">
        <v>46</v>
      </c>
      <c r="AL11" s="1">
        <v>46</v>
      </c>
      <c r="AM11" s="1">
        <v>46</v>
      </c>
      <c r="AN11" s="1">
        <v>46</v>
      </c>
      <c r="AO11" s="1">
        <v>46</v>
      </c>
      <c r="AP11" s="1">
        <v>46</v>
      </c>
      <c r="AQ11" s="1">
        <v>46</v>
      </c>
      <c r="AR11" s="1">
        <v>46</v>
      </c>
      <c r="AS11" s="1">
        <v>46</v>
      </c>
      <c r="AT11" s="1">
        <v>46</v>
      </c>
      <c r="AU11" s="1">
        <v>46</v>
      </c>
      <c r="AV11" s="1">
        <v>46</v>
      </c>
      <c r="AW11" s="1">
        <v>46</v>
      </c>
      <c r="AX11" s="1">
        <v>46</v>
      </c>
      <c r="AY11" s="1">
        <v>46</v>
      </c>
      <c r="AZ11" s="1">
        <v>46</v>
      </c>
      <c r="BA11" s="1">
        <v>46</v>
      </c>
      <c r="BB11" s="1">
        <v>46</v>
      </c>
      <c r="BC11" s="1">
        <v>46</v>
      </c>
      <c r="BD11" s="1">
        <v>46</v>
      </c>
      <c r="BE11" s="1">
        <v>46</v>
      </c>
      <c r="BF11" s="1">
        <v>46</v>
      </c>
      <c r="BG11" s="1">
        <v>46</v>
      </c>
      <c r="BH11" s="1">
        <v>46</v>
      </c>
      <c r="BI11" s="1">
        <v>46</v>
      </c>
      <c r="BJ11" s="1">
        <v>46</v>
      </c>
      <c r="BK11" s="1">
        <v>46</v>
      </c>
      <c r="BL11" s="1">
        <v>46</v>
      </c>
      <c r="BM11" s="1">
        <v>46</v>
      </c>
      <c r="BN11" s="1">
        <v>46</v>
      </c>
      <c r="BO11" s="1">
        <v>46</v>
      </c>
      <c r="BP11" s="1">
        <v>46</v>
      </c>
      <c r="BQ11" s="1">
        <v>46</v>
      </c>
      <c r="BR11" s="1">
        <v>46</v>
      </c>
      <c r="BS11" s="1">
        <v>46</v>
      </c>
      <c r="BT11" s="1">
        <v>46</v>
      </c>
      <c r="BU11" s="1">
        <v>46</v>
      </c>
      <c r="BV11" s="1">
        <v>46</v>
      </c>
      <c r="BW11" s="1">
        <v>46</v>
      </c>
      <c r="BX11" s="1">
        <v>46</v>
      </c>
      <c r="BY11" s="1">
        <v>46</v>
      </c>
      <c r="BZ11" s="1">
        <v>46</v>
      </c>
      <c r="CA11" s="1">
        <v>46</v>
      </c>
      <c r="CB11" s="1">
        <v>46</v>
      </c>
      <c r="CC11" s="1">
        <v>46</v>
      </c>
      <c r="CD11" s="1">
        <v>46</v>
      </c>
      <c r="CE11" s="1">
        <v>46</v>
      </c>
      <c r="CF11" s="1">
        <v>46</v>
      </c>
      <c r="CG11" s="1">
        <v>46</v>
      </c>
      <c r="CH11" s="1">
        <v>46</v>
      </c>
      <c r="CI11" s="1">
        <v>46</v>
      </c>
      <c r="CJ11" s="1">
        <v>46</v>
      </c>
      <c r="CK11" s="1">
        <v>46</v>
      </c>
      <c r="CL11" s="1">
        <v>46</v>
      </c>
      <c r="CM11" s="1">
        <v>46</v>
      </c>
      <c r="CN11" s="1">
        <v>46</v>
      </c>
      <c r="CO11" s="1">
        <v>46</v>
      </c>
      <c r="CP11" s="1">
        <v>46</v>
      </c>
      <c r="CQ11" s="1">
        <v>46</v>
      </c>
      <c r="CR11" s="1">
        <v>46</v>
      </c>
      <c r="CS11" s="1">
        <v>46</v>
      </c>
      <c r="CT11" s="1">
        <v>46</v>
      </c>
      <c r="CU11" s="1">
        <v>46</v>
      </c>
      <c r="CV11" s="1">
        <v>46</v>
      </c>
      <c r="CW11" s="1">
        <v>46</v>
      </c>
      <c r="CX11" s="1">
        <v>46</v>
      </c>
      <c r="CY11" s="1">
        <v>46</v>
      </c>
      <c r="CZ11" s="1">
        <v>46</v>
      </c>
      <c r="DA11" s="1">
        <v>46</v>
      </c>
      <c r="DB11" s="1">
        <v>46</v>
      </c>
      <c r="DC11" s="1">
        <v>46</v>
      </c>
      <c r="DD11" s="1">
        <v>46</v>
      </c>
      <c r="DE11" s="1">
        <v>46</v>
      </c>
      <c r="DF11" s="1">
        <v>46</v>
      </c>
      <c r="DG11" s="1">
        <v>46</v>
      </c>
      <c r="DH11" s="1">
        <v>46</v>
      </c>
      <c r="DI11" s="1">
        <v>46</v>
      </c>
      <c r="DJ11" s="1">
        <v>46</v>
      </c>
      <c r="DK11" s="1">
        <v>46</v>
      </c>
      <c r="DL11" s="1">
        <v>46</v>
      </c>
      <c r="DM11" s="1">
        <v>46</v>
      </c>
      <c r="DN11" s="1">
        <v>46</v>
      </c>
      <c r="DO11" s="1">
        <v>46</v>
      </c>
      <c r="DP11" s="1">
        <v>46</v>
      </c>
      <c r="DQ11" s="1">
        <v>46</v>
      </c>
      <c r="DR11" s="1">
        <v>46</v>
      </c>
      <c r="DS11" s="1">
        <v>46</v>
      </c>
      <c r="DT11" s="1">
        <v>46</v>
      </c>
      <c r="DU11" s="1">
        <v>46</v>
      </c>
      <c r="DV11" s="1">
        <v>46</v>
      </c>
      <c r="DW11" s="1">
        <v>46</v>
      </c>
      <c r="DX11" s="1">
        <v>46</v>
      </c>
      <c r="DY11" s="1">
        <v>46</v>
      </c>
      <c r="DZ11" s="1">
        <v>46</v>
      </c>
      <c r="EA11" s="1">
        <v>46</v>
      </c>
      <c r="EB11" s="1">
        <v>46</v>
      </c>
      <c r="EC11" s="1">
        <v>46</v>
      </c>
      <c r="ED11" s="1">
        <v>46</v>
      </c>
      <c r="EE11" s="1">
        <v>46</v>
      </c>
      <c r="EF11" s="1">
        <v>46</v>
      </c>
      <c r="EG11" s="1">
        <v>46</v>
      </c>
      <c r="EH11" s="1">
        <v>46</v>
      </c>
      <c r="EI11" s="1">
        <v>46</v>
      </c>
      <c r="EJ11" s="1">
        <v>46</v>
      </c>
      <c r="EK11" s="1">
        <v>46</v>
      </c>
      <c r="EL11" s="1">
        <v>46</v>
      </c>
      <c r="EM11" s="1">
        <v>46</v>
      </c>
      <c r="EN11" s="1">
        <v>46</v>
      </c>
      <c r="EO11" s="1">
        <v>46</v>
      </c>
      <c r="EP11" s="1">
        <v>46</v>
      </c>
      <c r="EQ11" s="1">
        <v>46</v>
      </c>
      <c r="ER11" s="1">
        <v>46</v>
      </c>
      <c r="ES11" s="1">
        <v>46</v>
      </c>
      <c r="ET11" s="1">
        <v>46</v>
      </c>
      <c r="EU11" s="1">
        <v>46</v>
      </c>
      <c r="EV11" s="1">
        <v>46</v>
      </c>
      <c r="EW11" s="1">
        <v>46</v>
      </c>
      <c r="EX11" s="1">
        <v>46</v>
      </c>
      <c r="EY11" s="1">
        <v>46</v>
      </c>
      <c r="EZ11" s="1">
        <v>46</v>
      </c>
      <c r="FA11" s="1">
        <v>46</v>
      </c>
      <c r="FB11" s="1">
        <v>46</v>
      </c>
      <c r="FC11" s="1">
        <v>46</v>
      </c>
      <c r="FD11" s="1">
        <v>46</v>
      </c>
      <c r="FE11" s="1">
        <v>46</v>
      </c>
      <c r="FF11" s="1">
        <v>46</v>
      </c>
      <c r="FG11" s="1">
        <v>46</v>
      </c>
      <c r="FH11" s="1">
        <v>46</v>
      </c>
      <c r="FI11" s="1">
        <v>46</v>
      </c>
      <c r="FJ11" s="1">
        <v>46</v>
      </c>
      <c r="FK11" s="1">
        <v>46</v>
      </c>
      <c r="FL11" s="1">
        <v>46</v>
      </c>
      <c r="FM11" s="1">
        <v>46</v>
      </c>
      <c r="FN11" s="1">
        <v>46</v>
      </c>
      <c r="FO11" s="1">
        <v>46</v>
      </c>
      <c r="FP11" s="1">
        <v>46</v>
      </c>
      <c r="FQ11" s="1">
        <v>46</v>
      </c>
      <c r="FR11" s="1">
        <v>46</v>
      </c>
      <c r="FS11" s="1">
        <v>46</v>
      </c>
      <c r="FT11" s="1">
        <v>46</v>
      </c>
      <c r="FU11" s="1">
        <v>46</v>
      </c>
      <c r="FV11" s="1">
        <v>46</v>
      </c>
      <c r="FW11" s="1">
        <v>46</v>
      </c>
      <c r="FX11" s="1">
        <v>46</v>
      </c>
      <c r="FY11" s="1">
        <v>46</v>
      </c>
      <c r="FZ11" s="1">
        <v>46</v>
      </c>
      <c r="GA11" s="1">
        <v>46</v>
      </c>
      <c r="GB11">
        <v>46</v>
      </c>
      <c r="GC11" s="1">
        <v>46</v>
      </c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</row>
    <row r="12" spans="1:395" ht="15" customHeight="1">
      <c r="A12" s="1" t="s">
        <v>113</v>
      </c>
      <c r="B12" s="1">
        <v>940</v>
      </c>
      <c r="C12" s="1">
        <v>938</v>
      </c>
      <c r="D12" s="1">
        <v>937</v>
      </c>
      <c r="E12" s="1">
        <v>937</v>
      </c>
      <c r="F12" s="1">
        <v>937</v>
      </c>
      <c r="G12" s="1">
        <v>937</v>
      </c>
      <c r="H12" s="1">
        <v>937</v>
      </c>
      <c r="I12" s="1">
        <v>936</v>
      </c>
      <c r="J12" s="1">
        <v>935</v>
      </c>
      <c r="K12" s="1">
        <v>933</v>
      </c>
      <c r="L12" s="1">
        <v>928</v>
      </c>
      <c r="M12" s="1">
        <v>927</v>
      </c>
      <c r="N12" s="1">
        <v>924</v>
      </c>
      <c r="O12" s="1">
        <v>923</v>
      </c>
      <c r="P12" s="1">
        <v>919</v>
      </c>
      <c r="Q12" s="1">
        <v>917</v>
      </c>
      <c r="R12" s="1">
        <v>915</v>
      </c>
      <c r="S12" s="1">
        <v>912</v>
      </c>
      <c r="T12" s="1">
        <v>911</v>
      </c>
      <c r="U12" s="1">
        <v>909</v>
      </c>
      <c r="V12" s="1">
        <v>899</v>
      </c>
      <c r="W12" s="1">
        <v>895</v>
      </c>
      <c r="X12" s="1">
        <v>893</v>
      </c>
      <c r="Y12" s="1">
        <v>890</v>
      </c>
      <c r="Z12" s="1">
        <v>889</v>
      </c>
      <c r="AA12" s="1">
        <v>889</v>
      </c>
      <c r="AB12" s="1">
        <v>884</v>
      </c>
      <c r="AC12" s="1">
        <v>881</v>
      </c>
      <c r="AD12" s="1">
        <v>872</v>
      </c>
      <c r="AE12" s="1">
        <v>870</v>
      </c>
      <c r="AF12" s="1">
        <v>868</v>
      </c>
      <c r="AG12" s="1">
        <v>862</v>
      </c>
      <c r="AH12" s="1">
        <v>855</v>
      </c>
      <c r="AI12" s="1">
        <v>850</v>
      </c>
      <c r="AJ12" s="1">
        <v>843</v>
      </c>
      <c r="AK12" s="1">
        <v>842</v>
      </c>
      <c r="AL12" s="1">
        <v>842</v>
      </c>
      <c r="AM12" s="1">
        <v>838</v>
      </c>
      <c r="AN12" s="1">
        <v>834</v>
      </c>
      <c r="AO12" s="1">
        <v>828</v>
      </c>
      <c r="AP12" s="1">
        <v>828</v>
      </c>
      <c r="AQ12" s="1">
        <v>825</v>
      </c>
      <c r="AR12" s="1">
        <v>822</v>
      </c>
      <c r="AS12" s="1">
        <v>819</v>
      </c>
      <c r="AT12" s="1">
        <v>817</v>
      </c>
      <c r="AU12" s="1">
        <v>815</v>
      </c>
      <c r="AV12" s="1">
        <v>812</v>
      </c>
      <c r="AW12" s="1">
        <v>808</v>
      </c>
      <c r="AX12" s="1">
        <v>802</v>
      </c>
      <c r="AY12" s="1">
        <v>799</v>
      </c>
      <c r="AZ12" s="1">
        <v>797</v>
      </c>
      <c r="BA12" s="1">
        <v>795</v>
      </c>
      <c r="BB12" s="1">
        <v>793</v>
      </c>
      <c r="BC12" s="1">
        <v>785</v>
      </c>
      <c r="BD12" s="1">
        <v>783</v>
      </c>
      <c r="BE12" s="1">
        <v>780</v>
      </c>
      <c r="BF12" s="1">
        <v>776</v>
      </c>
      <c r="BG12" s="1">
        <v>776</v>
      </c>
      <c r="BH12" s="1">
        <v>770</v>
      </c>
      <c r="BI12" s="1">
        <v>766</v>
      </c>
      <c r="BJ12" s="1">
        <v>766</v>
      </c>
      <c r="BK12" s="1">
        <v>763</v>
      </c>
      <c r="BL12" s="1">
        <v>759</v>
      </c>
      <c r="BM12" s="1">
        <v>757</v>
      </c>
      <c r="BN12" s="1">
        <v>749</v>
      </c>
      <c r="BO12" s="1">
        <v>742</v>
      </c>
      <c r="BP12" s="1">
        <v>740</v>
      </c>
      <c r="BQ12" s="1">
        <v>736</v>
      </c>
      <c r="BR12" s="1">
        <v>733</v>
      </c>
      <c r="BS12" s="1">
        <v>725</v>
      </c>
      <c r="BT12" s="1">
        <v>724</v>
      </c>
      <c r="BU12" s="1">
        <v>720</v>
      </c>
      <c r="BV12" s="1">
        <v>718</v>
      </c>
      <c r="BW12" s="1">
        <v>716</v>
      </c>
      <c r="BX12" s="1">
        <v>716</v>
      </c>
      <c r="BY12" s="1">
        <v>693</v>
      </c>
      <c r="BZ12" s="1">
        <v>690</v>
      </c>
      <c r="CA12" s="1">
        <v>686</v>
      </c>
      <c r="CB12" s="1">
        <v>685</v>
      </c>
      <c r="CC12" s="1">
        <v>675</v>
      </c>
      <c r="CD12" s="1">
        <v>675</v>
      </c>
      <c r="CE12" s="1">
        <v>651</v>
      </c>
      <c r="CF12" s="1">
        <v>648</v>
      </c>
      <c r="CG12" s="1">
        <v>639</v>
      </c>
      <c r="CH12" s="1">
        <v>625</v>
      </c>
      <c r="CI12" s="1">
        <v>623</v>
      </c>
      <c r="CJ12" s="1">
        <v>618</v>
      </c>
      <c r="CK12" s="1">
        <v>618</v>
      </c>
      <c r="CL12" s="1">
        <v>617</v>
      </c>
      <c r="CM12" s="1">
        <v>611</v>
      </c>
      <c r="CN12" s="1">
        <v>611</v>
      </c>
      <c r="CO12" s="1">
        <v>609</v>
      </c>
      <c r="CP12" s="1">
        <v>607</v>
      </c>
      <c r="CQ12" s="1">
        <v>605</v>
      </c>
      <c r="CR12" s="1">
        <v>603</v>
      </c>
      <c r="CS12" s="1">
        <v>602</v>
      </c>
      <c r="CT12" s="1">
        <v>600</v>
      </c>
      <c r="CU12" s="1">
        <v>597</v>
      </c>
      <c r="CV12" s="1">
        <v>589</v>
      </c>
      <c r="CW12" s="1">
        <v>584</v>
      </c>
      <c r="CX12" s="1">
        <v>580</v>
      </c>
      <c r="CY12" s="1">
        <v>578</v>
      </c>
      <c r="CZ12" s="1">
        <v>577</v>
      </c>
      <c r="DA12" s="1">
        <v>573</v>
      </c>
      <c r="DB12" s="1">
        <v>573</v>
      </c>
      <c r="DC12" s="1">
        <v>569</v>
      </c>
      <c r="DD12" s="1">
        <v>568</v>
      </c>
      <c r="DE12" s="1">
        <v>567</v>
      </c>
      <c r="DF12" s="1">
        <v>563</v>
      </c>
      <c r="DG12" s="1">
        <v>558</v>
      </c>
      <c r="DH12" s="1">
        <v>555</v>
      </c>
      <c r="DI12" s="1">
        <v>554</v>
      </c>
      <c r="DJ12" s="1">
        <v>553</v>
      </c>
      <c r="DK12" s="1">
        <v>550</v>
      </c>
      <c r="DL12" s="1">
        <v>550</v>
      </c>
      <c r="DM12" s="1">
        <v>550</v>
      </c>
      <c r="DN12" s="1">
        <v>550</v>
      </c>
      <c r="DO12" s="1">
        <v>550</v>
      </c>
      <c r="DP12" s="1">
        <v>548</v>
      </c>
      <c r="DQ12" s="1">
        <v>548</v>
      </c>
      <c r="DR12" s="1">
        <v>544</v>
      </c>
      <c r="DS12" s="1">
        <v>543</v>
      </c>
      <c r="DT12" s="1">
        <v>540</v>
      </c>
      <c r="DU12" s="1">
        <v>535</v>
      </c>
      <c r="DV12" s="1">
        <v>535</v>
      </c>
      <c r="DW12" s="1">
        <v>535</v>
      </c>
      <c r="DX12" s="1">
        <v>531</v>
      </c>
      <c r="DY12" s="1">
        <v>530</v>
      </c>
      <c r="DZ12" s="1">
        <v>530</v>
      </c>
      <c r="EA12" s="1">
        <v>529</v>
      </c>
      <c r="EB12" s="1">
        <v>527</v>
      </c>
      <c r="EC12" s="1">
        <v>527</v>
      </c>
      <c r="ED12" s="1">
        <v>527</v>
      </c>
      <c r="EE12" s="1">
        <v>524</v>
      </c>
      <c r="EF12" s="1">
        <v>523</v>
      </c>
      <c r="EG12" s="1">
        <v>521</v>
      </c>
      <c r="EH12" s="1">
        <v>518</v>
      </c>
      <c r="EI12" s="1">
        <v>517</v>
      </c>
      <c r="EJ12" s="1">
        <v>517</v>
      </c>
      <c r="EK12" s="1">
        <v>517</v>
      </c>
      <c r="EL12" s="1">
        <v>515</v>
      </c>
      <c r="EM12" s="1">
        <v>514</v>
      </c>
      <c r="EN12" s="1">
        <v>513</v>
      </c>
      <c r="EO12" s="1">
        <v>513</v>
      </c>
      <c r="EP12" s="1">
        <v>510</v>
      </c>
      <c r="EQ12" s="1">
        <v>510</v>
      </c>
      <c r="ER12" s="1">
        <v>510</v>
      </c>
      <c r="ES12" s="1">
        <v>509</v>
      </c>
      <c r="ET12" s="1">
        <v>509</v>
      </c>
      <c r="EU12" s="1">
        <v>509</v>
      </c>
      <c r="EV12" s="1">
        <v>509</v>
      </c>
      <c r="EW12" s="1">
        <v>507</v>
      </c>
      <c r="EX12" s="1">
        <v>506</v>
      </c>
      <c r="EY12" s="1">
        <v>503</v>
      </c>
      <c r="EZ12" s="1">
        <v>503</v>
      </c>
      <c r="FA12" s="1">
        <v>500</v>
      </c>
      <c r="FB12" s="1">
        <v>499</v>
      </c>
      <c r="FC12" s="1">
        <v>499</v>
      </c>
      <c r="FD12" s="1">
        <v>498</v>
      </c>
      <c r="FE12" s="1">
        <v>498</v>
      </c>
      <c r="FF12" s="1">
        <v>498</v>
      </c>
      <c r="FG12" s="1">
        <v>496</v>
      </c>
      <c r="FH12" s="1">
        <v>495</v>
      </c>
      <c r="FI12" s="1">
        <v>495</v>
      </c>
      <c r="FJ12" s="1">
        <v>494</v>
      </c>
      <c r="FK12" s="1">
        <v>493</v>
      </c>
      <c r="FL12" s="1">
        <v>492</v>
      </c>
      <c r="FM12" s="1">
        <v>490</v>
      </c>
      <c r="FN12" s="1">
        <v>489</v>
      </c>
      <c r="FO12" s="1">
        <v>489</v>
      </c>
      <c r="FP12" s="1">
        <v>488</v>
      </c>
      <c r="FQ12" s="1">
        <v>488</v>
      </c>
      <c r="FR12" s="1">
        <v>488</v>
      </c>
      <c r="FS12" s="1">
        <v>488</v>
      </c>
      <c r="FT12" s="1">
        <v>487</v>
      </c>
      <c r="FU12" s="1">
        <v>487</v>
      </c>
      <c r="FV12" s="1">
        <v>487</v>
      </c>
      <c r="FW12" s="1">
        <v>487</v>
      </c>
      <c r="FX12" s="1">
        <v>487</v>
      </c>
      <c r="FY12" s="1">
        <v>487</v>
      </c>
      <c r="FZ12" s="1">
        <v>487</v>
      </c>
      <c r="GA12" s="1">
        <v>487</v>
      </c>
      <c r="GB12">
        <v>486</v>
      </c>
      <c r="GC12" s="1">
        <v>486</v>
      </c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</row>
    <row r="13" spans="1:395" s="22" customFormat="1">
      <c r="A13" s="20" t="s">
        <v>82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1">
        <v>43975</v>
      </c>
      <c r="JM13" s="21">
        <v>43974</v>
      </c>
      <c r="JN13" s="21">
        <v>43973</v>
      </c>
      <c r="JO13" s="21">
        <v>43972</v>
      </c>
      <c r="JP13" s="21">
        <v>43971</v>
      </c>
      <c r="JQ13" s="21">
        <v>43970</v>
      </c>
      <c r="JR13" s="21">
        <v>43969</v>
      </c>
      <c r="JS13" s="21">
        <v>43968</v>
      </c>
      <c r="JT13" s="21">
        <v>43967</v>
      </c>
      <c r="JU13" s="21">
        <v>43966</v>
      </c>
      <c r="JV13" s="21">
        <v>43965</v>
      </c>
      <c r="JW13" s="21">
        <v>43964</v>
      </c>
      <c r="JX13" s="21">
        <v>43963</v>
      </c>
      <c r="JY13" s="21">
        <v>43962</v>
      </c>
      <c r="JZ13" s="21">
        <v>43961</v>
      </c>
      <c r="KA13" s="21">
        <v>43960</v>
      </c>
      <c r="KB13" s="21">
        <v>43959</v>
      </c>
      <c r="KC13" s="21">
        <v>43958</v>
      </c>
      <c r="KD13" s="21">
        <v>43957</v>
      </c>
      <c r="KE13" s="21">
        <v>43956</v>
      </c>
      <c r="KF13" s="21">
        <v>43955</v>
      </c>
      <c r="KG13" s="21">
        <v>43954</v>
      </c>
      <c r="KH13" s="21">
        <v>43953</v>
      </c>
      <c r="KI13" s="21">
        <v>43952</v>
      </c>
      <c r="KJ13" s="21">
        <v>43951</v>
      </c>
      <c r="KK13" s="21">
        <v>43950</v>
      </c>
      <c r="KL13" s="21">
        <v>43949</v>
      </c>
      <c r="KM13" s="21">
        <v>43948</v>
      </c>
      <c r="KN13" s="21">
        <v>43947</v>
      </c>
      <c r="KO13" s="21">
        <v>43946</v>
      </c>
      <c r="KP13" s="21">
        <v>43945</v>
      </c>
      <c r="KQ13" s="21">
        <v>43944</v>
      </c>
      <c r="KR13" s="21">
        <v>43943</v>
      </c>
      <c r="KS13" s="21">
        <v>43942</v>
      </c>
      <c r="KT13" s="21">
        <v>43941</v>
      </c>
      <c r="KU13" s="21">
        <v>43940</v>
      </c>
      <c r="KV13" s="21">
        <v>43939</v>
      </c>
      <c r="KW13" s="21">
        <v>43938</v>
      </c>
      <c r="KX13" s="21">
        <v>43937</v>
      </c>
      <c r="KY13" s="21">
        <v>43936</v>
      </c>
      <c r="KZ13" s="21">
        <v>43935</v>
      </c>
      <c r="LA13" s="21">
        <v>43934</v>
      </c>
      <c r="LB13" s="21">
        <v>43933</v>
      </c>
      <c r="LC13" s="21">
        <v>43932</v>
      </c>
      <c r="LD13" s="21">
        <v>43931</v>
      </c>
      <c r="LE13" s="21">
        <v>43930</v>
      </c>
      <c r="LF13" s="21">
        <v>43929</v>
      </c>
      <c r="LG13" s="21">
        <v>43928</v>
      </c>
      <c r="LH13" s="21">
        <v>43927</v>
      </c>
      <c r="LI13" s="21">
        <v>43926</v>
      </c>
      <c r="LJ13" s="21">
        <v>43925</v>
      </c>
      <c r="LK13" s="21">
        <v>43924</v>
      </c>
      <c r="LL13" s="21">
        <v>43923</v>
      </c>
      <c r="LM13" s="21">
        <v>43922</v>
      </c>
      <c r="LN13" s="21">
        <v>43921</v>
      </c>
      <c r="LO13" s="21">
        <v>43920</v>
      </c>
      <c r="LP13" s="21">
        <v>43919</v>
      </c>
      <c r="LQ13" s="21">
        <v>43918</v>
      </c>
      <c r="LR13" s="21">
        <v>43917</v>
      </c>
      <c r="LS13" s="21">
        <v>43916</v>
      </c>
      <c r="LT13" s="21">
        <v>43915</v>
      </c>
      <c r="LU13" s="21">
        <v>43914</v>
      </c>
      <c r="LV13" s="21">
        <v>43913</v>
      </c>
      <c r="LW13" s="21">
        <v>43912</v>
      </c>
      <c r="LX13" s="21">
        <v>43911</v>
      </c>
      <c r="LY13" s="21">
        <v>43910</v>
      </c>
      <c r="LZ13" s="21">
        <v>43909</v>
      </c>
      <c r="MA13" s="21">
        <v>43908</v>
      </c>
      <c r="MB13" s="21">
        <v>43907</v>
      </c>
      <c r="MC13" s="21">
        <v>43906</v>
      </c>
      <c r="MD13" s="21">
        <v>43905</v>
      </c>
      <c r="ME13" s="21">
        <v>43904</v>
      </c>
      <c r="MF13" s="21">
        <v>43903</v>
      </c>
      <c r="MG13" s="21">
        <v>43902</v>
      </c>
      <c r="MH13" s="21">
        <v>43901</v>
      </c>
      <c r="MI13" s="21">
        <v>43900</v>
      </c>
      <c r="MJ13" s="21">
        <v>43899</v>
      </c>
      <c r="MK13" s="21">
        <v>43898</v>
      </c>
      <c r="ML13" s="21">
        <v>43897</v>
      </c>
      <c r="MM13" s="21">
        <v>43896</v>
      </c>
      <c r="MN13" s="21">
        <v>43895</v>
      </c>
      <c r="MO13" s="21">
        <v>43894</v>
      </c>
      <c r="MP13" s="21">
        <v>43893</v>
      </c>
      <c r="MQ13" s="21">
        <v>43892</v>
      </c>
      <c r="MR13" s="21">
        <v>43891</v>
      </c>
      <c r="MS13" s="21">
        <v>43890</v>
      </c>
      <c r="MT13" s="21">
        <v>43889</v>
      </c>
      <c r="MU13" s="21">
        <v>43888</v>
      </c>
      <c r="MV13" s="21">
        <v>43887</v>
      </c>
      <c r="MW13" s="21">
        <v>43886</v>
      </c>
      <c r="MX13" s="21">
        <v>43885</v>
      </c>
      <c r="MY13" s="21">
        <v>43884</v>
      </c>
      <c r="MZ13" s="21">
        <v>43883</v>
      </c>
      <c r="NA13" s="21">
        <v>43882</v>
      </c>
      <c r="NB13" s="21">
        <v>43881</v>
      </c>
      <c r="NC13" s="21">
        <v>43880</v>
      </c>
      <c r="ND13" s="21">
        <v>43879</v>
      </c>
      <c r="NE13" s="21">
        <v>43878</v>
      </c>
      <c r="NF13" s="21">
        <v>43877</v>
      </c>
      <c r="NG13" s="21">
        <v>43876</v>
      </c>
      <c r="NH13" s="21">
        <v>43875</v>
      </c>
      <c r="NI13" s="21">
        <v>43874</v>
      </c>
      <c r="NJ13" s="21">
        <v>43873</v>
      </c>
      <c r="NK13" s="21">
        <v>43872</v>
      </c>
      <c r="NL13" s="21">
        <v>43871</v>
      </c>
      <c r="NM13" s="21">
        <v>43870</v>
      </c>
      <c r="NN13" s="21">
        <v>43869</v>
      </c>
      <c r="NO13" s="21">
        <v>43868</v>
      </c>
      <c r="NP13" s="21">
        <v>43867</v>
      </c>
      <c r="NQ13" s="21">
        <v>43866</v>
      </c>
      <c r="NR13" s="21">
        <v>43865</v>
      </c>
      <c r="NS13" s="21">
        <v>43864</v>
      </c>
      <c r="NT13" s="21">
        <v>43863</v>
      </c>
      <c r="NU13" s="21">
        <v>43862</v>
      </c>
      <c r="NV13" s="21">
        <v>43861</v>
      </c>
      <c r="NW13" s="21">
        <v>43860</v>
      </c>
      <c r="NX13" s="21">
        <v>43859</v>
      </c>
      <c r="NY13" s="21">
        <v>43858</v>
      </c>
      <c r="NZ13" s="21">
        <v>43857</v>
      </c>
      <c r="OA13" s="21">
        <v>43856</v>
      </c>
      <c r="OB13" s="21">
        <v>43855</v>
      </c>
    </row>
    <row r="14" spans="1:395" s="22" customFormat="1">
      <c r="A14" s="23" t="s">
        <v>84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/>
      <c r="IV14" s="23"/>
      <c r="IW14" s="23"/>
      <c r="IX14" s="23"/>
      <c r="IY14" s="23"/>
      <c r="IZ14" s="23"/>
      <c r="JA14" s="23"/>
      <c r="JB14" s="23"/>
      <c r="JC14" s="23"/>
      <c r="JD14" s="23"/>
      <c r="JE14" s="23"/>
      <c r="JF14" s="23"/>
      <c r="JG14" s="23"/>
      <c r="JH14" s="23"/>
      <c r="JI14" s="23"/>
      <c r="JJ14" s="23"/>
      <c r="JK14" s="23"/>
      <c r="JL14" s="23">
        <v>25</v>
      </c>
      <c r="JM14" s="23">
        <v>25</v>
      </c>
      <c r="JN14" s="23">
        <v>25</v>
      </c>
      <c r="JO14" s="23">
        <v>25</v>
      </c>
      <c r="JP14" s="23">
        <v>14</v>
      </c>
      <c r="JQ14" s="23">
        <v>15</v>
      </c>
      <c r="JR14" s="23">
        <v>10</v>
      </c>
      <c r="JS14" s="23">
        <v>7</v>
      </c>
      <c r="JT14" s="23">
        <v>3</v>
      </c>
      <c r="JU14" s="23">
        <v>2</v>
      </c>
      <c r="JV14" s="23">
        <v>1</v>
      </c>
      <c r="JW14" s="23">
        <v>1</v>
      </c>
      <c r="JX14" s="23">
        <v>5</v>
      </c>
      <c r="JY14" s="23">
        <v>6</v>
      </c>
      <c r="JZ14" s="23">
        <v>6</v>
      </c>
      <c r="KA14" s="23">
        <v>6</v>
      </c>
      <c r="KB14" s="23">
        <v>4</v>
      </c>
      <c r="KC14" s="23">
        <v>2</v>
      </c>
      <c r="KD14" s="23">
        <v>1</v>
      </c>
      <c r="KE14" s="23">
        <v>1</v>
      </c>
      <c r="KF14" s="23">
        <v>3</v>
      </c>
      <c r="KG14" s="23">
        <v>16</v>
      </c>
      <c r="KH14" s="23">
        <v>20</v>
      </c>
      <c r="KI14" s="23">
        <v>20</v>
      </c>
      <c r="KJ14" s="23">
        <v>15</v>
      </c>
      <c r="KK14" s="23">
        <v>13</v>
      </c>
      <c r="KL14" s="23">
        <v>22</v>
      </c>
      <c r="KM14" s="23">
        <v>25</v>
      </c>
      <c r="KN14" s="23">
        <v>21</v>
      </c>
      <c r="KO14" s="23">
        <v>29</v>
      </c>
      <c r="KP14" s="23">
        <v>28</v>
      </c>
      <c r="KQ14" s="23">
        <v>67</v>
      </c>
      <c r="KR14" s="23">
        <v>77</v>
      </c>
      <c r="KS14" s="23">
        <v>73</v>
      </c>
      <c r="KT14" s="23">
        <v>75</v>
      </c>
      <c r="KU14" s="23">
        <v>84</v>
      </c>
      <c r="KV14" s="23">
        <v>85</v>
      </c>
      <c r="KW14" s="23">
        <v>81</v>
      </c>
      <c r="KX14" s="23">
        <v>80</v>
      </c>
      <c r="KY14" s="23">
        <v>81</v>
      </c>
      <c r="KZ14" s="23">
        <v>68</v>
      </c>
      <c r="LA14" s="23">
        <v>49</v>
      </c>
      <c r="LB14" s="23">
        <v>50</v>
      </c>
      <c r="LC14" s="23">
        <v>59</v>
      </c>
      <c r="LD14" s="23">
        <v>65</v>
      </c>
      <c r="LE14" s="23">
        <v>89</v>
      </c>
      <c r="LF14" s="23">
        <v>114</v>
      </c>
      <c r="LG14" s="23">
        <v>139</v>
      </c>
      <c r="LH14" s="23">
        <v>194</v>
      </c>
      <c r="LI14" s="23">
        <v>252</v>
      </c>
      <c r="LJ14" s="23">
        <v>286</v>
      </c>
      <c r="LK14" s="23">
        <v>308</v>
      </c>
      <c r="LL14" s="23">
        <v>326</v>
      </c>
      <c r="LM14" s="23">
        <v>362</v>
      </c>
      <c r="LN14" s="23">
        <v>345</v>
      </c>
      <c r="LO14" s="23">
        <v>315</v>
      </c>
      <c r="LP14" s="23">
        <v>306</v>
      </c>
      <c r="LQ14" s="23">
        <v>303</v>
      </c>
      <c r="LR14" s="23">
        <v>283</v>
      </c>
      <c r="LS14" s="23">
        <v>261</v>
      </c>
      <c r="LT14" s="23">
        <v>175</v>
      </c>
      <c r="LU14" s="23">
        <v>175</v>
      </c>
      <c r="LV14" s="23">
        <v>172</v>
      </c>
      <c r="LW14" s="23">
        <v>171</v>
      </c>
      <c r="LX14" s="23">
        <v>163</v>
      </c>
      <c r="LY14" s="23">
        <v>122</v>
      </c>
      <c r="LZ14" s="23">
        <v>134</v>
      </c>
      <c r="MA14" s="23">
        <v>113</v>
      </c>
      <c r="MB14" s="23">
        <v>110</v>
      </c>
      <c r="MC14" s="23">
        <v>143</v>
      </c>
      <c r="MD14" s="23">
        <v>161</v>
      </c>
      <c r="ME14" s="23">
        <v>193</v>
      </c>
      <c r="MF14" s="23">
        <v>217</v>
      </c>
      <c r="MG14" s="23">
        <v>233</v>
      </c>
      <c r="MH14" s="23">
        <v>395</v>
      </c>
      <c r="MI14" s="23">
        <v>385</v>
      </c>
      <c r="MJ14" s="23">
        <v>395</v>
      </c>
      <c r="MK14" s="23">
        <v>432</v>
      </c>
      <c r="ML14" s="23">
        <v>444</v>
      </c>
      <c r="MM14" s="23">
        <v>455</v>
      </c>
      <c r="MN14" s="23">
        <v>482</v>
      </c>
      <c r="MO14" s="23">
        <v>511</v>
      </c>
      <c r="MP14" s="23">
        <v>521</v>
      </c>
      <c r="MQ14" s="23">
        <v>504</v>
      </c>
      <c r="MR14" s="23">
        <v>383</v>
      </c>
      <c r="MS14" s="23">
        <v>431</v>
      </c>
      <c r="MT14" s="23">
        <v>627</v>
      </c>
      <c r="MU14" s="23">
        <v>895</v>
      </c>
      <c r="MV14" s="23">
        <v>1270</v>
      </c>
      <c r="MW14" s="23">
        <v>1752</v>
      </c>
      <c r="MX14" s="23">
        <v>2439</v>
      </c>
      <c r="MY14" s="23">
        <v>2762</v>
      </c>
      <c r="MZ14" s="23">
        <v>2829</v>
      </c>
      <c r="NA14" s="23">
        <v>3527</v>
      </c>
      <c r="NB14" s="23">
        <v>3332</v>
      </c>
      <c r="NC14" s="23">
        <v>3245</v>
      </c>
      <c r="ND14" s="23">
        <v>3602</v>
      </c>
      <c r="NE14" s="23">
        <v>3650</v>
      </c>
      <c r="NF14" s="23">
        <v>3860</v>
      </c>
      <c r="NG14" s="23">
        <v>4089</v>
      </c>
      <c r="NH14" s="23">
        <v>4570</v>
      </c>
      <c r="NI14" s="23">
        <v>5657</v>
      </c>
      <c r="NJ14" s="24"/>
      <c r="NK14" s="24"/>
      <c r="NL14" s="25"/>
      <c r="NM14" s="25"/>
      <c r="NN14" s="25"/>
      <c r="NO14" s="25"/>
      <c r="NP14" s="25"/>
      <c r="NQ14" s="25"/>
      <c r="NR14" s="25"/>
      <c r="NS14" s="25"/>
      <c r="NT14" s="25"/>
      <c r="NU14" s="25"/>
      <c r="NV14" s="25"/>
      <c r="NW14" s="25"/>
      <c r="NX14" s="25"/>
      <c r="NY14" s="25"/>
      <c r="NZ14" s="25"/>
      <c r="OA14" s="25"/>
      <c r="OB14" s="25"/>
      <c r="OC14" s="25"/>
      <c r="OD14" s="25"/>
      <c r="OE14" s="25"/>
    </row>
    <row r="15" spans="1:395" s="22" customFormat="1">
      <c r="A15" s="23" t="s">
        <v>85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  <c r="IU15" s="23"/>
      <c r="IV15" s="23"/>
      <c r="IW15" s="23"/>
      <c r="IX15" s="23"/>
      <c r="IY15" s="23"/>
      <c r="IZ15" s="23"/>
      <c r="JA15" s="23"/>
      <c r="JB15" s="23"/>
      <c r="JC15" s="23"/>
      <c r="JD15" s="23"/>
      <c r="JE15" s="23"/>
      <c r="JF15" s="23"/>
      <c r="JG15" s="23"/>
      <c r="JH15" s="23"/>
      <c r="JI15" s="23"/>
      <c r="JJ15" s="23"/>
      <c r="JK15" s="23"/>
      <c r="JL15" s="23">
        <v>5</v>
      </c>
      <c r="JM15" s="23">
        <v>5</v>
      </c>
      <c r="JN15" s="23">
        <v>5</v>
      </c>
      <c r="JO15" s="23">
        <v>5</v>
      </c>
      <c r="JP15" s="23">
        <v>5</v>
      </c>
      <c r="JQ15" s="23">
        <v>5</v>
      </c>
      <c r="JR15" s="23">
        <v>0</v>
      </c>
      <c r="JS15" s="23">
        <v>0</v>
      </c>
      <c r="JT15" s="23">
        <v>0</v>
      </c>
      <c r="JU15" s="23">
        <v>0</v>
      </c>
      <c r="JV15" s="23">
        <v>0</v>
      </c>
      <c r="JW15" s="23">
        <v>0</v>
      </c>
      <c r="JX15" s="23">
        <v>0</v>
      </c>
      <c r="JY15" s="23">
        <v>0</v>
      </c>
      <c r="JZ15" s="23">
        <v>0</v>
      </c>
      <c r="KA15" s="23">
        <v>2</v>
      </c>
      <c r="KB15" s="23">
        <v>5</v>
      </c>
      <c r="KC15" s="23">
        <v>5</v>
      </c>
      <c r="KD15" s="23">
        <v>5</v>
      </c>
      <c r="KE15" s="23">
        <v>5</v>
      </c>
      <c r="KF15" s="23">
        <v>5</v>
      </c>
      <c r="KG15" s="23">
        <v>5</v>
      </c>
      <c r="KH15" s="23">
        <v>5</v>
      </c>
      <c r="KI15" s="23">
        <v>5</v>
      </c>
      <c r="KJ15" s="23">
        <v>12</v>
      </c>
      <c r="KK15" s="23">
        <v>13</v>
      </c>
      <c r="KL15" s="23">
        <v>13</v>
      </c>
      <c r="KM15" s="23">
        <v>14</v>
      </c>
      <c r="KN15" s="23">
        <v>19</v>
      </c>
      <c r="KO15" s="23">
        <v>101</v>
      </c>
      <c r="KP15" s="23">
        <v>151</v>
      </c>
      <c r="KQ15" s="23">
        <v>153</v>
      </c>
      <c r="KR15" s="23">
        <v>193</v>
      </c>
      <c r="KS15" s="23">
        <v>197</v>
      </c>
      <c r="KT15" s="23">
        <v>275</v>
      </c>
      <c r="KU15" s="23">
        <v>209</v>
      </c>
      <c r="KV15" s="23">
        <v>209</v>
      </c>
      <c r="KW15" s="23">
        <v>203</v>
      </c>
      <c r="KX15" s="23">
        <v>206</v>
      </c>
      <c r="KY15" s="23">
        <v>206</v>
      </c>
      <c r="KZ15" s="23">
        <v>224</v>
      </c>
      <c r="LA15" s="23">
        <v>261</v>
      </c>
      <c r="LB15" s="23">
        <v>375</v>
      </c>
      <c r="LC15" s="23">
        <v>298</v>
      </c>
      <c r="LD15" s="23">
        <v>244</v>
      </c>
      <c r="LE15" s="23">
        <v>243</v>
      </c>
      <c r="LF15" s="23">
        <v>262</v>
      </c>
      <c r="LG15" s="23">
        <v>295</v>
      </c>
      <c r="LH15" s="23">
        <v>363</v>
      </c>
      <c r="LI15" s="23">
        <v>432</v>
      </c>
      <c r="LJ15" s="23">
        <v>528</v>
      </c>
      <c r="LK15" s="23">
        <v>647</v>
      </c>
      <c r="LL15" s="23">
        <v>647</v>
      </c>
      <c r="LM15" s="23">
        <v>196</v>
      </c>
      <c r="LN15" s="23">
        <v>184</v>
      </c>
      <c r="LO15" s="23">
        <v>176</v>
      </c>
      <c r="LP15" s="23">
        <v>167</v>
      </c>
      <c r="LQ15" s="23">
        <v>120</v>
      </c>
      <c r="LR15" s="23">
        <v>119</v>
      </c>
      <c r="LS15" s="23">
        <v>111</v>
      </c>
      <c r="LT15" s="23">
        <v>107</v>
      </c>
      <c r="LU15" s="23">
        <v>97</v>
      </c>
      <c r="LV15" s="23">
        <v>83</v>
      </c>
      <c r="LW15" s="23">
        <v>39</v>
      </c>
      <c r="LX15" s="23">
        <v>28</v>
      </c>
      <c r="LY15" s="23">
        <v>10</v>
      </c>
      <c r="LZ15" s="23">
        <v>13</v>
      </c>
      <c r="MA15" s="23">
        <v>13</v>
      </c>
      <c r="MB15" s="23">
        <v>8</v>
      </c>
      <c r="MC15" s="23">
        <v>14</v>
      </c>
      <c r="MD15" s="23">
        <v>17</v>
      </c>
      <c r="ME15" s="23">
        <v>18</v>
      </c>
      <c r="MF15" s="23">
        <v>22</v>
      </c>
      <c r="MG15" s="23">
        <v>22</v>
      </c>
      <c r="MH15" s="23">
        <v>23</v>
      </c>
      <c r="MI15" s="23">
        <v>19</v>
      </c>
      <c r="MJ15" s="23">
        <v>25</v>
      </c>
      <c r="MK15" s="23">
        <v>25</v>
      </c>
      <c r="ML15" s="23">
        <v>27</v>
      </c>
      <c r="MM15" s="23">
        <v>43</v>
      </c>
      <c r="MN15" s="23">
        <v>45</v>
      </c>
      <c r="MO15" s="23">
        <v>51</v>
      </c>
      <c r="MP15" s="23">
        <v>65</v>
      </c>
      <c r="MQ15" s="23">
        <v>78</v>
      </c>
      <c r="MR15" s="23">
        <v>113</v>
      </c>
      <c r="MS15" s="23">
        <v>130</v>
      </c>
      <c r="MT15" s="23">
        <v>190</v>
      </c>
      <c r="MU15" s="23">
        <v>304</v>
      </c>
      <c r="MV15" s="23">
        <v>379</v>
      </c>
      <c r="MW15" s="23">
        <v>489</v>
      </c>
      <c r="MX15" s="23">
        <v>611</v>
      </c>
      <c r="MY15" s="23">
        <v>699</v>
      </c>
      <c r="MZ15" s="23">
        <v>874</v>
      </c>
      <c r="NA15" s="23">
        <v>874</v>
      </c>
      <c r="NB15" s="23">
        <v>1126</v>
      </c>
      <c r="NC15" s="23">
        <v>1583</v>
      </c>
      <c r="ND15" s="23">
        <v>1794</v>
      </c>
      <c r="NE15" s="23">
        <v>2103</v>
      </c>
      <c r="NF15" s="23">
        <v>2463</v>
      </c>
      <c r="NG15" s="23">
        <v>2998</v>
      </c>
      <c r="NH15" s="23">
        <v>3375</v>
      </c>
      <c r="NI15" s="23">
        <v>4005</v>
      </c>
    </row>
    <row r="16" spans="1:395" s="22" customFormat="1">
      <c r="A16" s="23" t="s">
        <v>20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  <c r="IU16" s="23"/>
      <c r="IV16" s="23"/>
      <c r="IW16" s="23"/>
      <c r="IX16" s="23"/>
      <c r="IY16" s="23"/>
      <c r="IZ16" s="23"/>
      <c r="JA16" s="23"/>
      <c r="JB16" s="23"/>
      <c r="JC16" s="23"/>
      <c r="JD16" s="23"/>
      <c r="JE16" s="23"/>
      <c r="JF16" s="23"/>
      <c r="JG16" s="23"/>
      <c r="JH16" s="23"/>
      <c r="JI16" s="23"/>
      <c r="JJ16" s="23"/>
      <c r="JK16" s="23"/>
      <c r="JL16" s="23">
        <v>111</v>
      </c>
      <c r="JM16" s="23">
        <v>145</v>
      </c>
      <c r="JN16" s="23">
        <v>159</v>
      </c>
      <c r="JO16" s="23">
        <v>160</v>
      </c>
      <c r="JP16" s="23">
        <v>166</v>
      </c>
      <c r="JQ16" s="23">
        <v>155</v>
      </c>
      <c r="JR16" s="23">
        <v>126</v>
      </c>
      <c r="JS16" s="23">
        <v>132</v>
      </c>
      <c r="JT16" s="23">
        <v>124</v>
      </c>
      <c r="JU16" s="23">
        <v>51</v>
      </c>
      <c r="JV16" s="23">
        <v>147</v>
      </c>
      <c r="JW16" s="23">
        <v>150</v>
      </c>
      <c r="JX16" s="23">
        <v>158</v>
      </c>
      <c r="JY16" s="23">
        <v>180</v>
      </c>
      <c r="JZ16" s="23">
        <v>184</v>
      </c>
      <c r="KA16" s="23">
        <v>186</v>
      </c>
      <c r="KB16" s="23">
        <v>186</v>
      </c>
      <c r="KC16" s="23">
        <v>200</v>
      </c>
      <c r="KD16" s="23">
        <v>225</v>
      </c>
      <c r="KE16" s="23">
        <v>253</v>
      </c>
      <c r="KF16" s="23">
        <v>290</v>
      </c>
      <c r="KG16" s="23">
        <v>290</v>
      </c>
      <c r="KH16" s="23">
        <v>275</v>
      </c>
      <c r="KI16" s="23">
        <v>272</v>
      </c>
      <c r="KJ16" s="23">
        <v>239</v>
      </c>
      <c r="KK16" s="23">
        <v>251</v>
      </c>
      <c r="KL16" s="23">
        <v>350</v>
      </c>
      <c r="KM16" s="23">
        <v>391</v>
      </c>
      <c r="KN16" s="23">
        <v>400</v>
      </c>
      <c r="KO16" s="23">
        <v>404</v>
      </c>
      <c r="KP16" s="23">
        <v>404</v>
      </c>
      <c r="KQ16" s="23">
        <v>403</v>
      </c>
      <c r="KR16" s="23">
        <v>392</v>
      </c>
      <c r="KS16" s="23">
        <v>365</v>
      </c>
      <c r="KT16" s="23">
        <v>275</v>
      </c>
      <c r="KU16" s="23">
        <v>269</v>
      </c>
      <c r="KV16" s="23">
        <v>225</v>
      </c>
      <c r="KW16" s="23">
        <v>193</v>
      </c>
      <c r="KX16" s="23">
        <v>152</v>
      </c>
      <c r="KY16" s="23">
        <v>109</v>
      </c>
      <c r="KZ16" s="23">
        <v>60</v>
      </c>
      <c r="LA16" s="23">
        <v>86</v>
      </c>
      <c r="LB16" s="23">
        <v>236</v>
      </c>
      <c r="LC16" s="23">
        <v>290</v>
      </c>
      <c r="LD16" s="23">
        <v>344</v>
      </c>
      <c r="LE16" s="23">
        <v>498</v>
      </c>
      <c r="LF16" s="23">
        <v>888</v>
      </c>
      <c r="LG16" s="23">
        <v>1080</v>
      </c>
      <c r="LH16" s="23">
        <v>1416</v>
      </c>
      <c r="LI16" s="23">
        <v>1714</v>
      </c>
      <c r="LJ16" s="23">
        <v>1992</v>
      </c>
      <c r="LK16" s="23">
        <v>2097</v>
      </c>
      <c r="LL16" s="23">
        <v>2441</v>
      </c>
      <c r="LM16" s="23">
        <v>2628</v>
      </c>
      <c r="LN16" s="23">
        <v>2783</v>
      </c>
      <c r="LO16" s="23">
        <v>2799</v>
      </c>
      <c r="LP16" s="23">
        <v>2827</v>
      </c>
      <c r="LQ16" s="23">
        <v>2837</v>
      </c>
      <c r="LR16" s="23">
        <v>2460</v>
      </c>
      <c r="LS16" s="23">
        <v>2203</v>
      </c>
      <c r="LT16" s="23">
        <v>2042</v>
      </c>
      <c r="LU16" s="23">
        <v>1889</v>
      </c>
      <c r="LV16" s="23">
        <v>1765</v>
      </c>
      <c r="LW16" s="23">
        <v>1557</v>
      </c>
      <c r="LX16" s="23">
        <v>1394</v>
      </c>
      <c r="LY16" s="23">
        <v>1270</v>
      </c>
      <c r="LZ16" s="23">
        <v>1130</v>
      </c>
      <c r="MA16" s="23">
        <v>1041</v>
      </c>
      <c r="MB16" s="23">
        <v>1033</v>
      </c>
      <c r="MC16" s="23">
        <v>992</v>
      </c>
      <c r="MD16" s="23">
        <v>991</v>
      </c>
      <c r="ME16" s="23">
        <v>903</v>
      </c>
      <c r="MF16" s="23">
        <v>929</v>
      </c>
      <c r="MG16" s="23">
        <v>943</v>
      </c>
      <c r="MH16" s="23">
        <v>992</v>
      </c>
      <c r="MI16" s="23">
        <v>926</v>
      </c>
      <c r="MJ16" s="23">
        <v>896</v>
      </c>
      <c r="MK16" s="23">
        <v>880</v>
      </c>
      <c r="ML16" s="23">
        <v>842</v>
      </c>
      <c r="MM16" s="23">
        <v>847</v>
      </c>
      <c r="MN16" s="23">
        <v>669</v>
      </c>
      <c r="MO16" s="23">
        <v>669</v>
      </c>
      <c r="MP16" s="23">
        <v>597</v>
      </c>
      <c r="MQ16" s="23">
        <v>580</v>
      </c>
      <c r="MR16" s="23">
        <v>649</v>
      </c>
      <c r="MS16" s="23">
        <v>775</v>
      </c>
      <c r="MT16" s="23">
        <v>945</v>
      </c>
      <c r="MU16" s="23">
        <v>1207</v>
      </c>
      <c r="MV16" s="23">
        <v>1558</v>
      </c>
      <c r="MW16" s="23">
        <v>1966</v>
      </c>
      <c r="MX16" s="23">
        <v>2486</v>
      </c>
      <c r="MY16" s="23">
        <v>3230</v>
      </c>
      <c r="MZ16" s="23">
        <v>3774</v>
      </c>
      <c r="NA16" s="23">
        <v>4105</v>
      </c>
      <c r="NB16" s="23">
        <v>5070</v>
      </c>
      <c r="NC16" s="23">
        <v>5732</v>
      </c>
      <c r="ND16" s="23">
        <v>6339</v>
      </c>
      <c r="NE16" s="23">
        <v>6738</v>
      </c>
      <c r="NF16" s="23">
        <v>7866</v>
      </c>
      <c r="NG16" s="23">
        <v>9019</v>
      </c>
      <c r="NH16" s="23">
        <v>10183</v>
      </c>
      <c r="NI16" s="23">
        <v>10834</v>
      </c>
    </row>
    <row r="17" spans="1:373" s="22" customFormat="1" ht="15" customHeight="1">
      <c r="A17" s="23" t="s">
        <v>86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  <c r="IX17" s="23"/>
      <c r="IY17" s="23"/>
      <c r="IZ17" s="23"/>
      <c r="JA17" s="23"/>
      <c r="JB17" s="23"/>
      <c r="JC17" s="23"/>
      <c r="JD17" s="23"/>
      <c r="JE17" s="23"/>
      <c r="JF17" s="23"/>
      <c r="JG17" s="23"/>
      <c r="JH17" s="23"/>
      <c r="JI17" s="23"/>
      <c r="JJ17" s="23"/>
      <c r="JK17" s="23"/>
      <c r="JL17" s="23">
        <v>8</v>
      </c>
      <c r="JM17" s="23">
        <v>9</v>
      </c>
      <c r="JN17" s="23">
        <v>15</v>
      </c>
      <c r="JO17" s="23">
        <v>14</v>
      </c>
      <c r="JP17" s="23">
        <v>9</v>
      </c>
      <c r="JQ17" s="23">
        <v>9</v>
      </c>
      <c r="JR17" s="23">
        <v>8</v>
      </c>
      <c r="JS17" s="23">
        <v>13</v>
      </c>
      <c r="JT17" s="23">
        <v>18</v>
      </c>
      <c r="JU17" s="23">
        <v>21</v>
      </c>
      <c r="JV17" s="23">
        <v>33</v>
      </c>
      <c r="JW17" s="23">
        <v>46</v>
      </c>
      <c r="JX17" s="23">
        <v>66</v>
      </c>
      <c r="JY17" s="23">
        <v>98</v>
      </c>
      <c r="JZ17" s="23">
        <v>111</v>
      </c>
      <c r="KA17" s="23">
        <v>107</v>
      </c>
      <c r="KB17" s="23">
        <v>98</v>
      </c>
      <c r="KC17" s="23">
        <v>97</v>
      </c>
      <c r="KD17" s="23">
        <v>101</v>
      </c>
      <c r="KE17" s="23">
        <v>103</v>
      </c>
      <c r="KF17" s="23">
        <v>102</v>
      </c>
      <c r="KG17" s="23">
        <v>103</v>
      </c>
      <c r="KH17" s="23">
        <v>97</v>
      </c>
      <c r="KI17" s="23">
        <v>97</v>
      </c>
      <c r="KJ17" s="23">
        <v>54</v>
      </c>
      <c r="KK17" s="23">
        <v>51</v>
      </c>
      <c r="KL17" s="23">
        <v>53</v>
      </c>
      <c r="KM17" s="23">
        <v>52</v>
      </c>
      <c r="KN17" s="23">
        <v>51</v>
      </c>
      <c r="KO17" s="23">
        <v>52</v>
      </c>
      <c r="KP17" s="23">
        <v>49</v>
      </c>
      <c r="KQ17" s="23">
        <v>51</v>
      </c>
      <c r="KR17" s="23">
        <v>55</v>
      </c>
      <c r="KS17" s="23">
        <v>56</v>
      </c>
      <c r="KT17" s="23">
        <v>52</v>
      </c>
      <c r="KU17" s="23">
        <v>50</v>
      </c>
      <c r="KV17" s="23">
        <v>39</v>
      </c>
      <c r="KW17" s="23">
        <v>42</v>
      </c>
      <c r="KX17" s="23">
        <v>42</v>
      </c>
      <c r="KY17" s="23">
        <v>38</v>
      </c>
      <c r="KZ17" s="23">
        <v>37</v>
      </c>
      <c r="LA17" s="23">
        <v>29</v>
      </c>
      <c r="LB17" s="23">
        <v>32</v>
      </c>
      <c r="LC17" s="23">
        <v>37</v>
      </c>
      <c r="LD17" s="23">
        <v>52</v>
      </c>
      <c r="LE17" s="23">
        <v>74</v>
      </c>
      <c r="LF17" s="23">
        <v>147</v>
      </c>
      <c r="LG17" s="23">
        <v>215</v>
      </c>
      <c r="LH17" s="23">
        <v>242</v>
      </c>
      <c r="LI17" s="23">
        <v>288</v>
      </c>
      <c r="LJ17" s="23">
        <v>332</v>
      </c>
      <c r="LK17" s="23">
        <v>370</v>
      </c>
      <c r="LL17" s="23">
        <v>415</v>
      </c>
      <c r="LM17" s="23">
        <v>432</v>
      </c>
      <c r="LN17" s="23">
        <v>438</v>
      </c>
      <c r="LO17" s="23">
        <v>439</v>
      </c>
      <c r="LP17" s="23">
        <v>415</v>
      </c>
      <c r="LQ17" s="23">
        <v>358</v>
      </c>
      <c r="LR17" s="23">
        <v>317</v>
      </c>
      <c r="LS17" s="23">
        <v>287</v>
      </c>
      <c r="LT17" s="23">
        <v>288</v>
      </c>
      <c r="LU17" s="23">
        <v>281</v>
      </c>
      <c r="LV17" s="23">
        <v>237</v>
      </c>
      <c r="LW17" s="23">
        <v>197</v>
      </c>
      <c r="LX17" s="23">
        <v>171</v>
      </c>
      <c r="LY17" s="23">
        <v>158</v>
      </c>
      <c r="LZ17" s="23">
        <v>136</v>
      </c>
      <c r="MA17" s="23">
        <v>220</v>
      </c>
      <c r="MB17" s="23">
        <v>231</v>
      </c>
      <c r="MC17" s="23">
        <v>217</v>
      </c>
      <c r="MD17" s="23">
        <v>206</v>
      </c>
      <c r="ME17" s="23">
        <v>216</v>
      </c>
      <c r="MF17" s="23">
        <v>224</v>
      </c>
      <c r="MG17" s="23">
        <v>234</v>
      </c>
      <c r="MH17" s="23">
        <v>275</v>
      </c>
      <c r="MI17" s="23">
        <v>284</v>
      </c>
      <c r="MJ17" s="23">
        <v>275</v>
      </c>
      <c r="MK17" s="23">
        <v>287</v>
      </c>
      <c r="ML17" s="23">
        <v>378</v>
      </c>
      <c r="MM17" s="23">
        <v>448</v>
      </c>
      <c r="MN17" s="23">
        <v>393</v>
      </c>
      <c r="MO17" s="23">
        <v>385</v>
      </c>
      <c r="MP17" s="23">
        <v>456</v>
      </c>
      <c r="MQ17" s="23">
        <v>477</v>
      </c>
      <c r="MR17" s="23">
        <v>507</v>
      </c>
      <c r="MS17" s="23">
        <v>623</v>
      </c>
      <c r="MT17" s="23">
        <v>854</v>
      </c>
      <c r="MU17" s="23">
        <v>984</v>
      </c>
      <c r="MV17" s="23">
        <v>1234</v>
      </c>
      <c r="MW17" s="23">
        <v>1431</v>
      </c>
      <c r="MX17" s="23">
        <v>1773</v>
      </c>
      <c r="MY17" s="23">
        <v>1977</v>
      </c>
      <c r="MZ17" s="23">
        <v>2377</v>
      </c>
      <c r="NA17" s="23">
        <v>2629</v>
      </c>
      <c r="NB17" s="23">
        <v>2941</v>
      </c>
      <c r="NC17" s="23">
        <v>3121</v>
      </c>
      <c r="ND17" s="23">
        <v>3329</v>
      </c>
      <c r="NE17" s="23">
        <v>3684</v>
      </c>
      <c r="NF17" s="23">
        <v>4284</v>
      </c>
      <c r="NG17" s="23">
        <v>4462</v>
      </c>
      <c r="NH17" s="23">
        <v>5892</v>
      </c>
      <c r="NI17" s="23">
        <v>6897</v>
      </c>
    </row>
    <row r="22" spans="1:373">
      <c r="CR22">
        <v>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38"/>
  <sheetViews>
    <sheetView zoomScale="85" zoomScaleNormal="85" workbookViewId="0">
      <selection activeCell="C14" sqref="C14"/>
    </sheetView>
  </sheetViews>
  <sheetFormatPr defaultRowHeight="14.25"/>
  <cols>
    <col min="1" max="167" width="26.875" customWidth="1"/>
    <col min="168" max="220" width="20.125" customWidth="1"/>
    <col min="221" max="221" width="11.625" customWidth="1"/>
    <col min="222" max="222" width="11.25" customWidth="1"/>
    <col min="223" max="223" width="12.125" customWidth="1"/>
    <col min="228" max="228" width="10.5" customWidth="1"/>
  </cols>
  <sheetData>
    <row r="1" spans="1:237" s="9" customFormat="1">
      <c r="A1" s="7"/>
      <c r="B1" s="7"/>
      <c r="C1" s="8">
        <v>44086</v>
      </c>
      <c r="D1" s="8">
        <v>44085</v>
      </c>
      <c r="E1" s="8">
        <v>44084</v>
      </c>
      <c r="F1" s="8">
        <v>44083</v>
      </c>
      <c r="G1" s="8">
        <v>44082</v>
      </c>
      <c r="H1" s="8">
        <v>44081</v>
      </c>
      <c r="I1" s="8">
        <v>44080</v>
      </c>
      <c r="J1" s="8">
        <v>44079</v>
      </c>
      <c r="K1" s="8">
        <v>44078</v>
      </c>
      <c r="L1" s="8">
        <v>44077</v>
      </c>
      <c r="M1" s="8">
        <v>44076</v>
      </c>
      <c r="N1" s="8">
        <v>44075</v>
      </c>
      <c r="O1" s="8">
        <v>44074</v>
      </c>
      <c r="P1" s="8">
        <v>44073</v>
      </c>
      <c r="Q1" s="8">
        <v>44072</v>
      </c>
      <c r="R1" s="8">
        <v>44071</v>
      </c>
      <c r="S1" s="8">
        <v>44070</v>
      </c>
      <c r="T1" s="8">
        <v>44069</v>
      </c>
      <c r="U1" s="8">
        <v>44068</v>
      </c>
      <c r="V1" s="8">
        <v>44067</v>
      </c>
      <c r="W1" s="8">
        <v>44066</v>
      </c>
      <c r="X1" s="8">
        <v>44065</v>
      </c>
      <c r="Y1" s="8">
        <v>44064</v>
      </c>
      <c r="Z1" s="8">
        <v>44063</v>
      </c>
      <c r="AA1" s="8">
        <v>44062</v>
      </c>
      <c r="AB1" s="8">
        <v>44061</v>
      </c>
      <c r="AC1" s="8">
        <v>44060</v>
      </c>
      <c r="AD1" s="8">
        <v>44059</v>
      </c>
      <c r="AE1" s="8">
        <v>44058</v>
      </c>
      <c r="AF1" s="8">
        <v>44057</v>
      </c>
      <c r="AG1" s="8">
        <v>44056</v>
      </c>
      <c r="AH1" s="8">
        <v>44055</v>
      </c>
      <c r="AI1" s="8">
        <v>44054</v>
      </c>
      <c r="AJ1" s="8">
        <v>44053</v>
      </c>
      <c r="AK1" s="8">
        <v>44052</v>
      </c>
      <c r="AL1" s="8">
        <v>44051</v>
      </c>
      <c r="AM1" s="8">
        <v>44050</v>
      </c>
      <c r="AN1" s="8">
        <v>44049</v>
      </c>
      <c r="AO1" s="8">
        <v>44048</v>
      </c>
      <c r="AP1" s="8">
        <v>44047</v>
      </c>
      <c r="AQ1" s="8">
        <v>44046</v>
      </c>
      <c r="AR1" s="8">
        <v>44045</v>
      </c>
      <c r="AS1" s="8">
        <v>44044</v>
      </c>
      <c r="AT1" s="8">
        <v>44043</v>
      </c>
      <c r="AU1" s="8">
        <v>44042</v>
      </c>
      <c r="AV1" s="8">
        <v>44041</v>
      </c>
      <c r="AW1" s="8">
        <v>44040</v>
      </c>
      <c r="AX1" s="8">
        <v>44039</v>
      </c>
      <c r="AY1" s="8">
        <v>44038</v>
      </c>
      <c r="AZ1" s="8">
        <v>44037</v>
      </c>
      <c r="BA1" s="8">
        <v>44036</v>
      </c>
      <c r="BB1" s="8">
        <v>44035</v>
      </c>
      <c r="BC1" s="8">
        <v>44034</v>
      </c>
      <c r="BD1" s="8">
        <v>44033</v>
      </c>
      <c r="BE1" s="8">
        <v>44032</v>
      </c>
      <c r="BF1" s="8">
        <v>44031</v>
      </c>
      <c r="BG1" s="8">
        <v>44030</v>
      </c>
      <c r="BH1" s="8">
        <v>44029</v>
      </c>
      <c r="BI1" s="8">
        <v>44028</v>
      </c>
      <c r="BJ1" s="8">
        <v>44027</v>
      </c>
      <c r="BK1" s="8">
        <v>44026</v>
      </c>
      <c r="BL1" s="8">
        <v>44025</v>
      </c>
      <c r="BM1" s="8">
        <v>44024</v>
      </c>
      <c r="BN1" s="8">
        <v>44023</v>
      </c>
      <c r="BO1" s="8">
        <v>44022</v>
      </c>
      <c r="BP1" s="8">
        <v>44021</v>
      </c>
      <c r="BQ1" s="8">
        <v>44020</v>
      </c>
      <c r="BR1" s="8">
        <v>44019</v>
      </c>
      <c r="BS1" s="8">
        <v>44018</v>
      </c>
      <c r="BT1" s="8">
        <v>44017</v>
      </c>
      <c r="BU1" s="8">
        <v>44016</v>
      </c>
      <c r="BV1" s="8">
        <v>44015</v>
      </c>
      <c r="BW1" s="8">
        <v>44014</v>
      </c>
      <c r="BX1" s="8">
        <v>44013</v>
      </c>
      <c r="BY1" s="8">
        <v>44012</v>
      </c>
      <c r="BZ1" s="8">
        <v>44011</v>
      </c>
      <c r="CA1" s="8">
        <v>44010</v>
      </c>
      <c r="CB1" s="8">
        <v>44009</v>
      </c>
      <c r="CC1" s="8">
        <v>44008</v>
      </c>
      <c r="CD1" s="8">
        <v>44007</v>
      </c>
      <c r="CE1" s="8">
        <v>44006</v>
      </c>
      <c r="CF1" s="8">
        <v>44005</v>
      </c>
      <c r="CG1" s="8">
        <v>44004</v>
      </c>
      <c r="CH1" s="8">
        <v>44003</v>
      </c>
      <c r="CI1" s="8">
        <v>44002</v>
      </c>
      <c r="CJ1" s="8">
        <v>44001</v>
      </c>
      <c r="CK1" s="8">
        <v>44000</v>
      </c>
      <c r="CL1" s="8">
        <v>43999</v>
      </c>
      <c r="CM1" s="8">
        <v>43998</v>
      </c>
      <c r="CN1" s="8">
        <v>43997</v>
      </c>
      <c r="CO1" s="8">
        <v>43996</v>
      </c>
      <c r="CP1" s="8">
        <v>43995</v>
      </c>
      <c r="CQ1" s="8">
        <v>43994</v>
      </c>
      <c r="CR1" s="8">
        <v>43993</v>
      </c>
      <c r="CS1" s="8">
        <v>43992</v>
      </c>
      <c r="CT1" s="8">
        <v>43991</v>
      </c>
      <c r="CU1" s="8">
        <v>43990</v>
      </c>
      <c r="CV1" s="8">
        <v>43989</v>
      </c>
      <c r="CW1" s="8">
        <v>43988</v>
      </c>
      <c r="CX1" s="8">
        <v>43987</v>
      </c>
      <c r="CY1" s="8">
        <v>43986</v>
      </c>
      <c r="CZ1" s="8">
        <v>43985</v>
      </c>
      <c r="DA1" s="8">
        <v>43984</v>
      </c>
      <c r="DB1" s="8">
        <v>43983</v>
      </c>
      <c r="DC1" s="8">
        <v>43982</v>
      </c>
      <c r="DD1" s="8">
        <v>43981</v>
      </c>
      <c r="DE1" s="8">
        <v>43980</v>
      </c>
      <c r="DF1" s="8">
        <v>43979</v>
      </c>
      <c r="DG1" s="8">
        <v>43978</v>
      </c>
      <c r="DH1" s="8">
        <v>43977</v>
      </c>
      <c r="DI1" s="8">
        <v>43976</v>
      </c>
      <c r="DJ1" s="8">
        <v>43975</v>
      </c>
      <c r="DK1" s="8">
        <v>43974</v>
      </c>
      <c r="DL1" s="8">
        <v>43973</v>
      </c>
      <c r="DM1" s="8">
        <v>43972</v>
      </c>
      <c r="DN1" s="8">
        <v>43971</v>
      </c>
      <c r="DO1" s="8">
        <v>43970</v>
      </c>
      <c r="DP1" s="8">
        <v>43969</v>
      </c>
      <c r="DQ1" s="8">
        <v>43968</v>
      </c>
      <c r="DR1" s="8">
        <v>43967</v>
      </c>
      <c r="DS1" s="8">
        <v>43966</v>
      </c>
      <c r="DT1" s="8">
        <v>43965</v>
      </c>
      <c r="DU1" s="8">
        <v>43964</v>
      </c>
      <c r="DV1" s="8">
        <v>43963</v>
      </c>
      <c r="DW1" s="8">
        <v>43962</v>
      </c>
      <c r="DX1" s="8">
        <v>43961</v>
      </c>
      <c r="DY1" s="8">
        <v>43960</v>
      </c>
      <c r="DZ1" s="8">
        <v>43959</v>
      </c>
      <c r="EA1" s="8">
        <v>43958</v>
      </c>
      <c r="EB1" s="8">
        <v>43957</v>
      </c>
      <c r="EC1" s="8">
        <v>43956</v>
      </c>
      <c r="ED1" s="8">
        <v>43955</v>
      </c>
      <c r="EE1" s="8">
        <v>43954</v>
      </c>
      <c r="EF1" s="8">
        <v>43953</v>
      </c>
      <c r="EG1" s="8">
        <v>43952</v>
      </c>
      <c r="EH1" s="8">
        <v>43951</v>
      </c>
      <c r="EI1" s="8">
        <v>43950</v>
      </c>
      <c r="EJ1" s="8">
        <v>43949</v>
      </c>
      <c r="EK1" s="8">
        <v>43948</v>
      </c>
      <c r="EL1" s="8">
        <v>43947</v>
      </c>
      <c r="EM1" s="8">
        <v>43946</v>
      </c>
      <c r="EN1" s="8">
        <v>43945</v>
      </c>
      <c r="EO1" s="8">
        <v>43944</v>
      </c>
      <c r="EP1" s="8">
        <v>43943</v>
      </c>
      <c r="EQ1" s="8">
        <v>43942</v>
      </c>
      <c r="ER1" s="8">
        <v>43941</v>
      </c>
      <c r="ES1" s="8">
        <v>43940</v>
      </c>
      <c r="ET1" s="8">
        <v>43939</v>
      </c>
      <c r="EU1" s="8">
        <v>43938</v>
      </c>
      <c r="EV1" s="8">
        <v>43937</v>
      </c>
      <c r="EW1" s="8">
        <v>43936</v>
      </c>
      <c r="EX1" s="8">
        <v>43935</v>
      </c>
      <c r="EY1" s="8">
        <v>43934</v>
      </c>
      <c r="EZ1" s="8">
        <v>43933</v>
      </c>
      <c r="FA1" s="8">
        <v>43932</v>
      </c>
      <c r="FB1" s="8">
        <v>43931</v>
      </c>
      <c r="FC1" s="8">
        <v>43930</v>
      </c>
      <c r="FD1" s="8">
        <v>43929</v>
      </c>
      <c r="FE1" s="8">
        <v>43928</v>
      </c>
      <c r="FF1" s="8">
        <v>43927</v>
      </c>
      <c r="FG1" s="8">
        <v>43926</v>
      </c>
      <c r="FH1" s="8">
        <v>43925</v>
      </c>
      <c r="FI1" s="8">
        <v>43924</v>
      </c>
      <c r="FJ1" s="8">
        <v>43923</v>
      </c>
      <c r="FK1" s="8">
        <v>43922</v>
      </c>
      <c r="FL1" s="8">
        <v>43921</v>
      </c>
      <c r="FM1" s="8">
        <v>43920</v>
      </c>
      <c r="FN1" s="8">
        <v>43919</v>
      </c>
      <c r="FO1" s="8">
        <v>43918</v>
      </c>
      <c r="FP1" s="8">
        <v>43917</v>
      </c>
      <c r="FQ1" s="8">
        <v>43916</v>
      </c>
      <c r="FR1" s="8">
        <v>43915</v>
      </c>
      <c r="FS1" s="8">
        <v>43914</v>
      </c>
      <c r="FT1" s="8">
        <v>43913</v>
      </c>
      <c r="FU1" s="8">
        <v>43912</v>
      </c>
      <c r="FV1" s="8">
        <v>43911</v>
      </c>
      <c r="FW1" s="8">
        <v>43910</v>
      </c>
      <c r="FX1" s="8">
        <v>43909</v>
      </c>
      <c r="FY1" s="8">
        <v>43908</v>
      </c>
      <c r="FZ1" s="8">
        <v>43907</v>
      </c>
      <c r="GA1" s="8">
        <v>43906</v>
      </c>
      <c r="GB1" s="8">
        <v>43905</v>
      </c>
      <c r="GC1" s="8">
        <v>43904</v>
      </c>
      <c r="GD1" s="8">
        <v>43903</v>
      </c>
      <c r="GE1" s="8">
        <v>43902</v>
      </c>
      <c r="GF1" s="8">
        <v>43901</v>
      </c>
      <c r="GG1" s="8">
        <v>43900</v>
      </c>
      <c r="GH1" s="8">
        <v>43899</v>
      </c>
      <c r="GI1" s="8">
        <v>43898</v>
      </c>
      <c r="GJ1" s="8">
        <v>43897</v>
      </c>
      <c r="GK1" s="8">
        <v>43896</v>
      </c>
      <c r="GL1" s="8">
        <v>43895</v>
      </c>
      <c r="GM1" s="8">
        <v>43894</v>
      </c>
      <c r="GN1" s="8">
        <v>43893</v>
      </c>
      <c r="GO1" s="8">
        <v>43892</v>
      </c>
      <c r="GP1" s="8">
        <v>43891</v>
      </c>
      <c r="GQ1" s="8">
        <v>43890</v>
      </c>
      <c r="GR1" s="8">
        <v>43889</v>
      </c>
      <c r="GS1" s="8">
        <v>43888</v>
      </c>
      <c r="GT1" s="8">
        <v>43887</v>
      </c>
      <c r="GU1" s="8">
        <v>43886</v>
      </c>
      <c r="GV1" s="8">
        <v>43885</v>
      </c>
      <c r="GW1" s="8">
        <v>43884</v>
      </c>
      <c r="GX1" s="8">
        <v>43883</v>
      </c>
      <c r="GY1" s="8">
        <v>43882</v>
      </c>
      <c r="GZ1" s="8">
        <v>43881</v>
      </c>
      <c r="HA1" s="8">
        <v>43880</v>
      </c>
      <c r="HB1" s="8">
        <v>43879</v>
      </c>
      <c r="HC1" s="8">
        <v>43878</v>
      </c>
      <c r="HD1" s="8">
        <v>43877</v>
      </c>
      <c r="HE1" s="8">
        <v>43876</v>
      </c>
      <c r="HF1" s="8">
        <v>43875</v>
      </c>
      <c r="HG1" s="8">
        <v>43874</v>
      </c>
      <c r="HH1" s="8">
        <v>43873</v>
      </c>
      <c r="HI1" s="8">
        <v>43872</v>
      </c>
      <c r="HJ1" s="8">
        <v>43871</v>
      </c>
      <c r="HK1" s="8">
        <v>43870</v>
      </c>
      <c r="HL1" s="8">
        <v>43869</v>
      </c>
      <c r="HM1" s="8">
        <v>43868</v>
      </c>
      <c r="HN1" s="8">
        <v>43867</v>
      </c>
      <c r="HO1" s="8">
        <v>43866</v>
      </c>
      <c r="HP1" s="8">
        <v>43865</v>
      </c>
      <c r="HQ1" s="8">
        <v>43864</v>
      </c>
      <c r="HR1" s="8">
        <v>43863</v>
      </c>
      <c r="HS1" s="8">
        <v>43862</v>
      </c>
      <c r="HT1" s="8">
        <v>43861</v>
      </c>
      <c r="HU1" s="8">
        <v>43860</v>
      </c>
      <c r="HV1" s="8">
        <v>43859</v>
      </c>
      <c r="HW1" s="8">
        <v>43858</v>
      </c>
      <c r="HX1" s="8">
        <v>43857</v>
      </c>
      <c r="HY1" s="8">
        <v>43856</v>
      </c>
      <c r="HZ1" s="8">
        <v>43855</v>
      </c>
      <c r="IA1" s="8">
        <v>43854</v>
      </c>
      <c r="IB1" s="8">
        <v>43853</v>
      </c>
      <c r="IC1" s="8">
        <v>43852</v>
      </c>
    </row>
    <row r="2" spans="1:237">
      <c r="A2" s="2" t="s">
        <v>0</v>
      </c>
      <c r="B2" s="2">
        <v>175</v>
      </c>
      <c r="C2" s="2">
        <v>175</v>
      </c>
      <c r="D2" s="2">
        <v>175</v>
      </c>
      <c r="E2" s="2">
        <v>175</v>
      </c>
      <c r="F2" s="2">
        <v>175</v>
      </c>
      <c r="G2" s="2">
        <v>175</v>
      </c>
      <c r="H2" s="2">
        <v>175</v>
      </c>
      <c r="I2" s="2">
        <v>175</v>
      </c>
      <c r="J2" s="2">
        <v>175</v>
      </c>
      <c r="K2" s="2">
        <v>175</v>
      </c>
      <c r="L2" s="2">
        <v>175</v>
      </c>
      <c r="M2" s="2">
        <v>175</v>
      </c>
      <c r="N2" s="2">
        <v>175</v>
      </c>
      <c r="O2" s="2">
        <v>175</v>
      </c>
      <c r="P2" s="2">
        <v>175</v>
      </c>
      <c r="Q2" s="2">
        <v>175</v>
      </c>
      <c r="R2" s="2">
        <v>175</v>
      </c>
      <c r="S2" s="2">
        <v>175</v>
      </c>
      <c r="T2" s="2">
        <v>175</v>
      </c>
      <c r="U2" s="2">
        <v>175</v>
      </c>
      <c r="V2" s="2">
        <v>175</v>
      </c>
      <c r="W2" s="2">
        <v>175</v>
      </c>
      <c r="X2" s="2">
        <v>175</v>
      </c>
      <c r="Y2" s="2">
        <v>175</v>
      </c>
      <c r="Z2" s="2">
        <v>175</v>
      </c>
      <c r="AA2" s="2">
        <v>175</v>
      </c>
      <c r="AB2" s="2">
        <v>175</v>
      </c>
      <c r="AC2" s="2">
        <v>175</v>
      </c>
      <c r="AD2" s="2">
        <v>175</v>
      </c>
      <c r="AE2" s="2">
        <v>175</v>
      </c>
      <c r="AF2" s="2">
        <v>175</v>
      </c>
      <c r="AG2" s="2">
        <v>175</v>
      </c>
      <c r="AH2" s="2">
        <v>175</v>
      </c>
      <c r="AI2" s="2">
        <v>175</v>
      </c>
      <c r="AJ2" s="2">
        <v>175</v>
      </c>
      <c r="AK2" s="2">
        <v>175</v>
      </c>
      <c r="AL2" s="2">
        <v>175</v>
      </c>
      <c r="AM2" s="2">
        <v>175</v>
      </c>
      <c r="AN2" s="2">
        <v>175</v>
      </c>
      <c r="AO2" s="2">
        <v>175</v>
      </c>
      <c r="AP2" s="2">
        <v>175</v>
      </c>
      <c r="AQ2" s="2">
        <v>175</v>
      </c>
      <c r="AR2" s="2">
        <v>175</v>
      </c>
      <c r="AS2" s="2">
        <v>175</v>
      </c>
      <c r="AT2" s="2">
        <v>175</v>
      </c>
      <c r="AU2" s="2">
        <v>175</v>
      </c>
      <c r="AV2" s="2">
        <v>175</v>
      </c>
      <c r="AW2" s="2">
        <v>175</v>
      </c>
      <c r="AX2" s="2">
        <v>175</v>
      </c>
      <c r="AY2" s="2">
        <v>175</v>
      </c>
      <c r="AZ2" s="2">
        <v>175</v>
      </c>
      <c r="BA2" s="2">
        <v>175</v>
      </c>
      <c r="BB2" s="2">
        <v>175</v>
      </c>
      <c r="BC2" s="2">
        <v>175</v>
      </c>
      <c r="BD2" s="2">
        <v>175</v>
      </c>
      <c r="BE2" s="2">
        <v>175</v>
      </c>
      <c r="BF2" s="2">
        <v>175</v>
      </c>
      <c r="BG2" s="2">
        <v>175</v>
      </c>
      <c r="BH2" s="2">
        <v>175</v>
      </c>
      <c r="BI2" s="2">
        <v>175</v>
      </c>
      <c r="BJ2" s="2">
        <v>175</v>
      </c>
      <c r="BK2" s="2">
        <v>175</v>
      </c>
      <c r="BL2" s="2">
        <v>175</v>
      </c>
      <c r="BM2" s="2">
        <v>175</v>
      </c>
      <c r="BN2" s="2">
        <v>175</v>
      </c>
      <c r="BO2" s="2">
        <v>175</v>
      </c>
      <c r="BP2" s="2">
        <v>175</v>
      </c>
      <c r="BQ2" s="2">
        <v>175</v>
      </c>
      <c r="BR2" s="2">
        <v>175</v>
      </c>
      <c r="BS2" s="2">
        <v>175</v>
      </c>
      <c r="BT2" s="2">
        <v>175</v>
      </c>
      <c r="BU2" s="2">
        <v>175</v>
      </c>
      <c r="BV2" s="2">
        <v>175</v>
      </c>
      <c r="BW2" s="2">
        <v>175</v>
      </c>
      <c r="BX2" s="2">
        <v>175</v>
      </c>
      <c r="BY2" s="2">
        <v>175</v>
      </c>
      <c r="BZ2" s="2">
        <v>175</v>
      </c>
      <c r="CA2" s="2">
        <v>175</v>
      </c>
      <c r="CB2" s="2">
        <v>175</v>
      </c>
      <c r="CC2" s="2">
        <v>175</v>
      </c>
      <c r="CD2" s="2">
        <v>175</v>
      </c>
      <c r="CE2" s="2">
        <v>175</v>
      </c>
      <c r="CF2" s="2">
        <v>175</v>
      </c>
      <c r="CG2" s="2">
        <v>175</v>
      </c>
      <c r="CH2" s="2">
        <v>175</v>
      </c>
      <c r="CI2" s="2">
        <v>175</v>
      </c>
      <c r="CJ2" s="2">
        <v>175</v>
      </c>
      <c r="CK2" s="2">
        <v>175</v>
      </c>
      <c r="CL2" s="2">
        <v>175</v>
      </c>
      <c r="CM2" s="2">
        <v>175</v>
      </c>
      <c r="CN2" s="2">
        <v>175</v>
      </c>
      <c r="CO2" s="2">
        <v>175</v>
      </c>
      <c r="CP2" s="2">
        <v>175</v>
      </c>
      <c r="CQ2" s="2">
        <v>175</v>
      </c>
      <c r="CR2" s="2">
        <v>175</v>
      </c>
      <c r="CS2" s="2">
        <v>175</v>
      </c>
      <c r="CT2" s="2">
        <v>175</v>
      </c>
      <c r="CU2" s="2">
        <v>175</v>
      </c>
      <c r="CV2" s="2">
        <v>175</v>
      </c>
      <c r="CW2" s="2">
        <v>175</v>
      </c>
      <c r="CX2" s="2">
        <v>175</v>
      </c>
      <c r="CY2" s="2">
        <v>175</v>
      </c>
      <c r="CZ2" s="2">
        <v>175</v>
      </c>
      <c r="DA2" s="2">
        <v>175</v>
      </c>
      <c r="DB2" s="2">
        <v>175</v>
      </c>
      <c r="DC2" s="2">
        <v>175</v>
      </c>
      <c r="DD2" s="2">
        <v>175</v>
      </c>
      <c r="DE2" s="2">
        <v>175</v>
      </c>
      <c r="DF2" s="2">
        <v>175</v>
      </c>
      <c r="DG2" s="2">
        <v>175</v>
      </c>
      <c r="DH2" s="2">
        <v>175</v>
      </c>
      <c r="DI2" s="2">
        <v>175</v>
      </c>
      <c r="DJ2" s="2">
        <v>175</v>
      </c>
      <c r="DK2" s="2">
        <v>175</v>
      </c>
      <c r="DL2" s="2">
        <v>175</v>
      </c>
      <c r="DM2" s="2">
        <v>175</v>
      </c>
      <c r="DN2" s="2">
        <v>175</v>
      </c>
      <c r="DO2" s="2">
        <v>175</v>
      </c>
      <c r="DP2" s="2">
        <v>175</v>
      </c>
      <c r="DQ2" s="2">
        <v>175</v>
      </c>
      <c r="DR2" s="2">
        <v>175</v>
      </c>
      <c r="DS2" s="2">
        <v>175</v>
      </c>
      <c r="DT2" s="2">
        <v>175</v>
      </c>
      <c r="DU2" s="2">
        <v>175</v>
      </c>
      <c r="DV2" s="2">
        <v>175</v>
      </c>
      <c r="DW2" s="2">
        <v>175</v>
      </c>
      <c r="DX2" s="2">
        <v>175</v>
      </c>
      <c r="DY2" s="2">
        <v>175</v>
      </c>
      <c r="DZ2" s="2">
        <v>175</v>
      </c>
      <c r="EA2" s="2">
        <v>175</v>
      </c>
      <c r="EB2" s="2">
        <v>175</v>
      </c>
      <c r="EC2" s="2">
        <v>175</v>
      </c>
      <c r="ED2" s="2">
        <v>175</v>
      </c>
      <c r="EE2" s="2">
        <v>175</v>
      </c>
      <c r="EF2" s="2">
        <v>175</v>
      </c>
      <c r="EG2" s="2">
        <v>175</v>
      </c>
      <c r="EH2" s="2">
        <v>175</v>
      </c>
      <c r="EI2" s="2">
        <v>175</v>
      </c>
      <c r="EJ2" s="2">
        <v>175</v>
      </c>
      <c r="EK2" s="2">
        <v>175</v>
      </c>
      <c r="EL2" s="2">
        <v>175</v>
      </c>
      <c r="EM2" s="2">
        <v>175</v>
      </c>
      <c r="EN2" s="2">
        <v>175</v>
      </c>
      <c r="EO2" s="2">
        <v>175</v>
      </c>
      <c r="EP2" s="2">
        <v>175</v>
      </c>
      <c r="EQ2" s="2">
        <v>175</v>
      </c>
      <c r="ER2" s="2">
        <v>175</v>
      </c>
      <c r="ES2" s="2">
        <v>175</v>
      </c>
      <c r="ET2" s="2">
        <v>175</v>
      </c>
      <c r="EU2" s="2">
        <v>175</v>
      </c>
      <c r="EV2" s="2">
        <v>175</v>
      </c>
      <c r="EW2" s="2">
        <v>175</v>
      </c>
      <c r="EX2" s="2">
        <v>175</v>
      </c>
      <c r="EY2" s="2">
        <v>175</v>
      </c>
      <c r="EZ2" s="2">
        <v>175</v>
      </c>
      <c r="FA2" s="2">
        <v>175</v>
      </c>
      <c r="FB2" s="2">
        <v>175</v>
      </c>
      <c r="FC2" s="2">
        <v>175</v>
      </c>
      <c r="FD2" s="2">
        <v>175</v>
      </c>
      <c r="FE2" s="2">
        <v>175</v>
      </c>
      <c r="FF2" s="2">
        <v>175</v>
      </c>
      <c r="FG2" s="2">
        <v>175</v>
      </c>
      <c r="FH2" s="2">
        <v>175</v>
      </c>
      <c r="FI2" s="2">
        <v>175</v>
      </c>
      <c r="FJ2" s="2">
        <v>175</v>
      </c>
      <c r="FK2" s="2">
        <v>175</v>
      </c>
      <c r="FL2" s="2">
        <v>175</v>
      </c>
      <c r="FM2" s="2">
        <v>175</v>
      </c>
      <c r="FN2" s="2">
        <v>175</v>
      </c>
      <c r="FO2" s="2">
        <v>175</v>
      </c>
      <c r="FP2" s="2">
        <v>175</v>
      </c>
      <c r="FQ2" s="2">
        <v>175</v>
      </c>
      <c r="FR2" s="2">
        <v>175</v>
      </c>
      <c r="FS2" s="2">
        <v>175</v>
      </c>
      <c r="FT2" s="2">
        <v>175</v>
      </c>
      <c r="FU2" s="2">
        <v>175</v>
      </c>
      <c r="FV2" s="2">
        <v>175</v>
      </c>
      <c r="FW2" s="2">
        <v>175</v>
      </c>
      <c r="FX2" s="2">
        <v>175</v>
      </c>
      <c r="FY2" s="2">
        <v>175</v>
      </c>
      <c r="FZ2" s="2">
        <v>175</v>
      </c>
      <c r="GA2" s="2">
        <v>175</v>
      </c>
      <c r="GB2" s="2">
        <v>175</v>
      </c>
      <c r="GC2" s="2">
        <v>175</v>
      </c>
      <c r="GD2" s="2">
        <v>175</v>
      </c>
      <c r="GE2" s="2">
        <v>175</v>
      </c>
      <c r="GF2" s="2">
        <v>175</v>
      </c>
      <c r="GG2" s="2">
        <v>175</v>
      </c>
      <c r="GH2" s="2">
        <v>175</v>
      </c>
      <c r="GI2" s="2">
        <v>175</v>
      </c>
      <c r="GJ2" s="2">
        <v>175</v>
      </c>
      <c r="GK2" s="2">
        <v>175</v>
      </c>
      <c r="GL2" s="2">
        <v>175</v>
      </c>
      <c r="GM2" s="2">
        <v>175</v>
      </c>
      <c r="GN2" s="2">
        <v>175</v>
      </c>
      <c r="GO2" s="2">
        <v>175</v>
      </c>
      <c r="GP2" s="2">
        <v>175</v>
      </c>
      <c r="GQ2" s="2">
        <v>174</v>
      </c>
      <c r="GR2" s="2">
        <v>174</v>
      </c>
      <c r="GS2" s="2">
        <v>174</v>
      </c>
      <c r="GT2" s="2">
        <v>174</v>
      </c>
      <c r="GU2" s="2">
        <v>174</v>
      </c>
      <c r="GV2" s="2">
        <v>174</v>
      </c>
      <c r="GW2" s="2">
        <v>174</v>
      </c>
      <c r="GX2" s="2">
        <v>174</v>
      </c>
      <c r="GY2" s="2">
        <v>174</v>
      </c>
      <c r="GZ2" s="2">
        <v>174</v>
      </c>
      <c r="HA2" s="2">
        <v>173</v>
      </c>
      <c r="HB2" s="2">
        <v>173</v>
      </c>
      <c r="HC2" s="2">
        <v>173</v>
      </c>
      <c r="HD2" s="2">
        <v>171</v>
      </c>
      <c r="HE2" s="2">
        <v>169</v>
      </c>
      <c r="HF2" s="3">
        <v>168</v>
      </c>
      <c r="HG2" s="2">
        <v>166</v>
      </c>
      <c r="HH2" s="2">
        <v>161</v>
      </c>
      <c r="HI2" s="2">
        <v>157</v>
      </c>
      <c r="HJ2" s="2">
        <v>150</v>
      </c>
      <c r="HK2" s="2">
        <v>147</v>
      </c>
      <c r="HL2" s="2">
        <v>136</v>
      </c>
      <c r="HM2" s="2">
        <v>128</v>
      </c>
      <c r="HN2" s="2">
        <v>115</v>
      </c>
      <c r="HO2" s="2">
        <v>104</v>
      </c>
      <c r="HP2" s="2">
        <v>93</v>
      </c>
      <c r="HQ2" s="2">
        <v>81</v>
      </c>
      <c r="HR2" s="2">
        <v>75</v>
      </c>
      <c r="HS2" s="4">
        <v>59</v>
      </c>
      <c r="HT2" s="2">
        <v>59</v>
      </c>
      <c r="HU2" s="4">
        <v>50</v>
      </c>
      <c r="HV2" s="2">
        <v>39</v>
      </c>
      <c r="HW2" s="4">
        <v>29</v>
      </c>
      <c r="HX2" s="4">
        <v>16</v>
      </c>
      <c r="HY2" s="4">
        <v>13</v>
      </c>
      <c r="HZ2" s="4">
        <v>13</v>
      </c>
      <c r="IA2" s="4">
        <v>10</v>
      </c>
      <c r="IB2" s="4">
        <v>6</v>
      </c>
      <c r="IC2" s="4">
        <v>5</v>
      </c>
    </row>
    <row r="3" spans="1:237">
      <c r="A3" s="2" t="s">
        <v>5</v>
      </c>
      <c r="B3" s="2">
        <v>155</v>
      </c>
      <c r="C3" s="2">
        <v>155</v>
      </c>
      <c r="D3" s="2">
        <v>155</v>
      </c>
      <c r="E3" s="2">
        <v>155</v>
      </c>
      <c r="F3" s="2">
        <v>155</v>
      </c>
      <c r="G3" s="2">
        <v>155</v>
      </c>
      <c r="H3" s="2">
        <v>155</v>
      </c>
      <c r="I3" s="2">
        <v>155</v>
      </c>
      <c r="J3" s="2">
        <v>155</v>
      </c>
      <c r="K3" s="2">
        <v>155</v>
      </c>
      <c r="L3" s="2">
        <v>155</v>
      </c>
      <c r="M3" s="2">
        <v>155</v>
      </c>
      <c r="N3" s="2">
        <v>155</v>
      </c>
      <c r="O3" s="2">
        <v>155</v>
      </c>
      <c r="P3" s="2">
        <v>155</v>
      </c>
      <c r="Q3" s="2">
        <v>155</v>
      </c>
      <c r="R3" s="2">
        <v>155</v>
      </c>
      <c r="S3" s="2">
        <v>155</v>
      </c>
      <c r="T3" s="2">
        <v>155</v>
      </c>
      <c r="U3" s="2">
        <v>155</v>
      </c>
      <c r="V3" s="2">
        <v>155</v>
      </c>
      <c r="W3" s="2">
        <v>155</v>
      </c>
      <c r="X3" s="2">
        <v>155</v>
      </c>
      <c r="Y3" s="2">
        <v>155</v>
      </c>
      <c r="Z3" s="2">
        <v>155</v>
      </c>
      <c r="AA3" s="2">
        <v>155</v>
      </c>
      <c r="AB3" s="2">
        <v>155</v>
      </c>
      <c r="AC3" s="2">
        <v>155</v>
      </c>
      <c r="AD3" s="2">
        <v>155</v>
      </c>
      <c r="AE3" s="2">
        <v>155</v>
      </c>
      <c r="AF3" s="2">
        <v>155</v>
      </c>
      <c r="AG3" s="2">
        <v>155</v>
      </c>
      <c r="AH3" s="2">
        <v>155</v>
      </c>
      <c r="AI3" s="2">
        <v>155</v>
      </c>
      <c r="AJ3" s="2">
        <v>155</v>
      </c>
      <c r="AK3" s="2">
        <v>155</v>
      </c>
      <c r="AL3" s="2">
        <v>155</v>
      </c>
      <c r="AM3" s="2">
        <v>155</v>
      </c>
      <c r="AN3" s="2">
        <v>155</v>
      </c>
      <c r="AO3" s="2">
        <v>155</v>
      </c>
      <c r="AP3" s="2">
        <v>155</v>
      </c>
      <c r="AQ3" s="2">
        <v>155</v>
      </c>
      <c r="AR3" s="2">
        <v>155</v>
      </c>
      <c r="AS3" s="2">
        <v>155</v>
      </c>
      <c r="AT3" s="2">
        <v>155</v>
      </c>
      <c r="AU3" s="2">
        <v>155</v>
      </c>
      <c r="AV3" s="2">
        <v>155</v>
      </c>
      <c r="AW3" s="2">
        <v>155</v>
      </c>
      <c r="AX3" s="2">
        <v>155</v>
      </c>
      <c r="AY3" s="2">
        <v>155</v>
      </c>
      <c r="AZ3" s="2">
        <v>155</v>
      </c>
      <c r="BA3" s="2">
        <v>155</v>
      </c>
      <c r="BB3" s="2">
        <v>155</v>
      </c>
      <c r="BC3" s="2">
        <v>155</v>
      </c>
      <c r="BD3" s="2">
        <v>155</v>
      </c>
      <c r="BE3" s="2">
        <v>155</v>
      </c>
      <c r="BF3" s="2">
        <v>155</v>
      </c>
      <c r="BG3" s="2">
        <v>155</v>
      </c>
      <c r="BH3" s="2">
        <v>155</v>
      </c>
      <c r="BI3" s="2">
        <v>155</v>
      </c>
      <c r="BJ3" s="2">
        <v>155</v>
      </c>
      <c r="BK3" s="2">
        <v>155</v>
      </c>
      <c r="BL3" s="2">
        <v>155</v>
      </c>
      <c r="BM3" s="2">
        <v>155</v>
      </c>
      <c r="BN3" s="2">
        <v>155</v>
      </c>
      <c r="BO3" s="2">
        <v>155</v>
      </c>
      <c r="BP3" s="2">
        <v>155</v>
      </c>
      <c r="BQ3" s="2">
        <v>155</v>
      </c>
      <c r="BR3" s="2">
        <v>155</v>
      </c>
      <c r="BS3" s="2">
        <v>155</v>
      </c>
      <c r="BT3" s="2">
        <v>155</v>
      </c>
      <c r="BU3" s="2">
        <v>155</v>
      </c>
      <c r="BV3" s="2">
        <v>155</v>
      </c>
      <c r="BW3" s="2">
        <v>155</v>
      </c>
      <c r="BX3" s="2">
        <v>155</v>
      </c>
      <c r="BY3" s="2">
        <v>155</v>
      </c>
      <c r="BZ3" s="2">
        <v>155</v>
      </c>
      <c r="CA3" s="2">
        <v>155</v>
      </c>
      <c r="CB3" s="2">
        <v>155</v>
      </c>
      <c r="CC3" s="2">
        <v>155</v>
      </c>
      <c r="CD3" s="2">
        <v>155</v>
      </c>
      <c r="CE3" s="2">
        <v>155</v>
      </c>
      <c r="CF3" s="2">
        <v>155</v>
      </c>
      <c r="CG3" s="2">
        <v>155</v>
      </c>
      <c r="CH3" s="2">
        <v>155</v>
      </c>
      <c r="CI3" s="2">
        <v>155</v>
      </c>
      <c r="CJ3" s="2">
        <v>155</v>
      </c>
      <c r="CK3" s="2">
        <v>155</v>
      </c>
      <c r="CL3" s="2">
        <v>155</v>
      </c>
      <c r="CM3" s="2">
        <v>155</v>
      </c>
      <c r="CN3" s="2">
        <v>155</v>
      </c>
      <c r="CO3" s="2">
        <v>155</v>
      </c>
      <c r="CP3" s="2">
        <v>155</v>
      </c>
      <c r="CQ3" s="2">
        <v>155</v>
      </c>
      <c r="CR3" s="2">
        <v>155</v>
      </c>
      <c r="CS3" s="2">
        <v>155</v>
      </c>
      <c r="CT3" s="2">
        <v>155</v>
      </c>
      <c r="CU3" s="2">
        <v>155</v>
      </c>
      <c r="CV3" s="2">
        <v>155</v>
      </c>
      <c r="CW3" s="2">
        <v>155</v>
      </c>
      <c r="CX3" s="2">
        <v>155</v>
      </c>
      <c r="CY3" s="2">
        <v>155</v>
      </c>
      <c r="CZ3" s="2">
        <v>155</v>
      </c>
      <c r="DA3" s="2">
        <v>155</v>
      </c>
      <c r="DB3" s="2">
        <v>155</v>
      </c>
      <c r="DC3" s="2">
        <v>155</v>
      </c>
      <c r="DD3" s="2">
        <v>155</v>
      </c>
      <c r="DE3" s="2">
        <v>155</v>
      </c>
      <c r="DF3" s="2">
        <v>155</v>
      </c>
      <c r="DG3" s="2">
        <v>155</v>
      </c>
      <c r="DH3" s="2">
        <v>155</v>
      </c>
      <c r="DI3" s="2">
        <v>155</v>
      </c>
      <c r="DJ3" s="2">
        <v>155</v>
      </c>
      <c r="DK3" s="2">
        <v>155</v>
      </c>
      <c r="DL3" s="2">
        <v>155</v>
      </c>
      <c r="DM3" s="2">
        <v>155</v>
      </c>
      <c r="DN3" s="2">
        <v>155</v>
      </c>
      <c r="DO3" s="2">
        <v>155</v>
      </c>
      <c r="DP3" s="2">
        <v>155</v>
      </c>
      <c r="DQ3" s="2">
        <v>155</v>
      </c>
      <c r="DR3" s="2">
        <v>155</v>
      </c>
      <c r="DS3" s="2">
        <v>155</v>
      </c>
      <c r="DT3" s="2">
        <v>155</v>
      </c>
      <c r="DU3" s="2">
        <v>155</v>
      </c>
      <c r="DV3" s="2">
        <v>155</v>
      </c>
      <c r="DW3" s="2">
        <v>155</v>
      </c>
      <c r="DX3" s="2">
        <v>155</v>
      </c>
      <c r="DY3" s="2">
        <v>155</v>
      </c>
      <c r="DZ3" s="2">
        <v>155</v>
      </c>
      <c r="EA3" s="2">
        <v>155</v>
      </c>
      <c r="EB3" s="2">
        <v>155</v>
      </c>
      <c r="EC3" s="2">
        <v>155</v>
      </c>
      <c r="ED3" s="2">
        <v>155</v>
      </c>
      <c r="EE3" s="2">
        <v>155</v>
      </c>
      <c r="EF3" s="2">
        <v>155</v>
      </c>
      <c r="EG3" s="2">
        <v>155</v>
      </c>
      <c r="EH3" s="2">
        <v>155</v>
      </c>
      <c r="EI3" s="2">
        <v>155</v>
      </c>
      <c r="EJ3" s="2">
        <v>155</v>
      </c>
      <c r="EK3" s="2">
        <v>155</v>
      </c>
      <c r="EL3" s="2">
        <v>155</v>
      </c>
      <c r="EM3" s="2">
        <v>155</v>
      </c>
      <c r="EN3" s="2">
        <v>155</v>
      </c>
      <c r="EO3" s="2">
        <v>155</v>
      </c>
      <c r="EP3" s="2">
        <v>155</v>
      </c>
      <c r="EQ3" s="2">
        <v>155</v>
      </c>
      <c r="ER3" s="2">
        <v>155</v>
      </c>
      <c r="ES3" s="2">
        <v>155</v>
      </c>
      <c r="ET3" s="2">
        <v>155</v>
      </c>
      <c r="EU3" s="2">
        <v>155</v>
      </c>
      <c r="EV3" s="2">
        <v>155</v>
      </c>
      <c r="EW3" s="2">
        <v>155</v>
      </c>
      <c r="EX3" s="2">
        <v>155</v>
      </c>
      <c r="EY3" s="2">
        <v>155</v>
      </c>
      <c r="EZ3" s="2">
        <v>155</v>
      </c>
      <c r="FA3" s="2">
        <v>155</v>
      </c>
      <c r="FB3" s="2">
        <v>155</v>
      </c>
      <c r="FC3" s="2">
        <v>155</v>
      </c>
      <c r="FD3" s="2">
        <v>155</v>
      </c>
      <c r="FE3" s="2">
        <v>155</v>
      </c>
      <c r="FF3" s="2">
        <v>155</v>
      </c>
      <c r="FG3" s="2">
        <v>155</v>
      </c>
      <c r="FH3" s="2">
        <v>155</v>
      </c>
      <c r="FI3" s="2">
        <v>155</v>
      </c>
      <c r="FJ3" s="2">
        <v>155</v>
      </c>
      <c r="FK3" s="2">
        <v>155</v>
      </c>
      <c r="FL3" s="2">
        <v>155</v>
      </c>
      <c r="FM3" s="2">
        <v>155</v>
      </c>
      <c r="FN3" s="2">
        <v>155</v>
      </c>
      <c r="FO3" s="2">
        <v>155</v>
      </c>
      <c r="FP3" s="2">
        <v>155</v>
      </c>
      <c r="FQ3" s="2">
        <v>155</v>
      </c>
      <c r="FR3" s="2">
        <v>155</v>
      </c>
      <c r="FS3" s="2">
        <v>155</v>
      </c>
      <c r="FT3" s="2">
        <v>155</v>
      </c>
      <c r="FU3" s="2">
        <v>155</v>
      </c>
      <c r="FV3" s="2">
        <v>155</v>
      </c>
      <c r="FW3" s="2">
        <v>155</v>
      </c>
      <c r="FX3" s="2">
        <v>155</v>
      </c>
      <c r="FY3" s="2">
        <v>155</v>
      </c>
      <c r="FZ3" s="2">
        <v>155</v>
      </c>
      <c r="GA3" s="2">
        <v>155</v>
      </c>
      <c r="GB3" s="2">
        <v>155</v>
      </c>
      <c r="GC3" s="2">
        <v>155</v>
      </c>
      <c r="GD3" s="2">
        <v>155</v>
      </c>
      <c r="GE3" s="2">
        <v>155</v>
      </c>
      <c r="GF3" s="2">
        <v>155</v>
      </c>
      <c r="GG3" s="2">
        <v>155</v>
      </c>
      <c r="GH3" s="2">
        <v>155</v>
      </c>
      <c r="GI3" s="2">
        <v>155</v>
      </c>
      <c r="GJ3" s="2">
        <v>155</v>
      </c>
      <c r="GK3" s="2">
        <v>155</v>
      </c>
      <c r="GL3" s="2">
        <v>155</v>
      </c>
      <c r="GM3" s="2">
        <v>155</v>
      </c>
      <c r="GN3" s="2">
        <v>155</v>
      </c>
      <c r="GO3" s="2">
        <v>155</v>
      </c>
      <c r="GP3" s="2">
        <v>155</v>
      </c>
      <c r="GQ3" s="2">
        <v>155</v>
      </c>
      <c r="GR3" s="2">
        <v>155</v>
      </c>
      <c r="GS3" s="2">
        <v>155</v>
      </c>
      <c r="GT3" s="2">
        <v>155</v>
      </c>
      <c r="GU3" s="2">
        <v>155</v>
      </c>
      <c r="GV3" s="2">
        <v>155</v>
      </c>
      <c r="GW3" s="2">
        <v>155</v>
      </c>
      <c r="GX3" s="2">
        <v>155</v>
      </c>
      <c r="GY3" s="2">
        <v>155</v>
      </c>
      <c r="GZ3" s="2">
        <v>155</v>
      </c>
      <c r="HA3" s="2">
        <v>155</v>
      </c>
      <c r="HB3" s="2">
        <v>155</v>
      </c>
      <c r="HC3" s="2">
        <v>154</v>
      </c>
      <c r="HD3" s="2">
        <v>153</v>
      </c>
      <c r="HE3" s="2">
        <v>152</v>
      </c>
      <c r="HF3" s="3">
        <v>150</v>
      </c>
      <c r="HG3" s="2">
        <v>146</v>
      </c>
      <c r="HH3" s="2">
        <v>142</v>
      </c>
      <c r="HI3" s="2">
        <v>138</v>
      </c>
      <c r="HJ3" s="2">
        <v>132</v>
      </c>
      <c r="HK3" s="2">
        <v>125</v>
      </c>
      <c r="HL3" s="2">
        <v>118</v>
      </c>
      <c r="HM3" s="2">
        <v>113</v>
      </c>
      <c r="HN3" s="2">
        <v>105</v>
      </c>
      <c r="HO3" s="2">
        <v>95</v>
      </c>
      <c r="HP3" s="2">
        <v>84</v>
      </c>
      <c r="HQ3" s="2">
        <v>79</v>
      </c>
      <c r="HR3" s="2">
        <v>65</v>
      </c>
      <c r="HS3" s="2">
        <v>59</v>
      </c>
      <c r="HT3" s="2">
        <v>47</v>
      </c>
      <c r="HU3" s="4">
        <v>38</v>
      </c>
      <c r="HV3" s="2">
        <v>28</v>
      </c>
      <c r="HW3" s="2">
        <v>23</v>
      </c>
      <c r="HX3" s="2">
        <v>21</v>
      </c>
      <c r="HY3" s="2">
        <v>10</v>
      </c>
      <c r="HZ3" s="2">
        <v>10</v>
      </c>
      <c r="IA3" s="2">
        <v>7</v>
      </c>
      <c r="IB3" s="2">
        <v>2</v>
      </c>
      <c r="IC3" s="2">
        <v>1</v>
      </c>
    </row>
    <row r="4" spans="1:237">
      <c r="A4" s="2" t="s">
        <v>4</v>
      </c>
      <c r="B4" s="2">
        <v>160</v>
      </c>
      <c r="C4" s="2">
        <v>160</v>
      </c>
      <c r="D4" s="2">
        <v>160</v>
      </c>
      <c r="E4" s="2">
        <v>160</v>
      </c>
      <c r="F4" s="2">
        <v>160</v>
      </c>
      <c r="G4" s="2">
        <v>160</v>
      </c>
      <c r="H4" s="2">
        <v>160</v>
      </c>
      <c r="I4" s="2">
        <v>160</v>
      </c>
      <c r="J4" s="2">
        <v>160</v>
      </c>
      <c r="K4" s="2">
        <v>160</v>
      </c>
      <c r="L4" s="2">
        <v>160</v>
      </c>
      <c r="M4" s="2">
        <v>160</v>
      </c>
      <c r="N4" s="2">
        <v>160</v>
      </c>
      <c r="O4" s="2">
        <v>160</v>
      </c>
      <c r="P4" s="2">
        <v>160</v>
      </c>
      <c r="Q4" s="2">
        <v>160</v>
      </c>
      <c r="R4" s="2">
        <v>160</v>
      </c>
      <c r="S4" s="2">
        <v>160</v>
      </c>
      <c r="T4" s="2">
        <v>160</v>
      </c>
      <c r="U4" s="2">
        <v>160</v>
      </c>
      <c r="V4" s="2">
        <v>160</v>
      </c>
      <c r="W4" s="2">
        <v>160</v>
      </c>
      <c r="X4" s="2">
        <v>160</v>
      </c>
      <c r="Y4" s="2">
        <v>160</v>
      </c>
      <c r="Z4" s="2">
        <v>160</v>
      </c>
      <c r="AA4" s="2">
        <v>160</v>
      </c>
      <c r="AB4" s="2">
        <v>160</v>
      </c>
      <c r="AC4" s="2">
        <v>160</v>
      </c>
      <c r="AD4" s="2">
        <v>160</v>
      </c>
      <c r="AE4" s="2">
        <v>160</v>
      </c>
      <c r="AF4" s="2">
        <v>160</v>
      </c>
      <c r="AG4" s="2">
        <v>160</v>
      </c>
      <c r="AH4" s="2">
        <v>160</v>
      </c>
      <c r="AI4" s="2">
        <v>160</v>
      </c>
      <c r="AJ4" s="2">
        <v>160</v>
      </c>
      <c r="AK4" s="2">
        <v>160</v>
      </c>
      <c r="AL4" s="2">
        <v>160</v>
      </c>
      <c r="AM4" s="2">
        <v>160</v>
      </c>
      <c r="AN4" s="2">
        <v>160</v>
      </c>
      <c r="AO4" s="2">
        <v>160</v>
      </c>
      <c r="AP4" s="2">
        <v>160</v>
      </c>
      <c r="AQ4" s="2">
        <v>160</v>
      </c>
      <c r="AR4" s="2">
        <v>160</v>
      </c>
      <c r="AS4" s="2">
        <v>160</v>
      </c>
      <c r="AT4" s="2">
        <v>160</v>
      </c>
      <c r="AU4" s="2">
        <v>160</v>
      </c>
      <c r="AV4" s="2">
        <v>160</v>
      </c>
      <c r="AW4" s="2">
        <v>160</v>
      </c>
      <c r="AX4" s="2">
        <v>160</v>
      </c>
      <c r="AY4" s="2">
        <v>160</v>
      </c>
      <c r="AZ4" s="2">
        <v>160</v>
      </c>
      <c r="BA4" s="2">
        <v>160</v>
      </c>
      <c r="BB4" s="2">
        <v>160</v>
      </c>
      <c r="BC4" s="2">
        <v>160</v>
      </c>
      <c r="BD4" s="2">
        <v>160</v>
      </c>
      <c r="BE4" s="2">
        <v>160</v>
      </c>
      <c r="BF4" s="2">
        <v>160</v>
      </c>
      <c r="BG4" s="2">
        <v>160</v>
      </c>
      <c r="BH4" s="2">
        <v>160</v>
      </c>
      <c r="BI4" s="2">
        <v>160</v>
      </c>
      <c r="BJ4" s="2">
        <v>160</v>
      </c>
      <c r="BK4" s="2">
        <v>160</v>
      </c>
      <c r="BL4" s="2">
        <v>160</v>
      </c>
      <c r="BM4" s="2">
        <v>160</v>
      </c>
      <c r="BN4" s="2">
        <v>160</v>
      </c>
      <c r="BO4" s="2">
        <v>160</v>
      </c>
      <c r="BP4" s="2">
        <v>160</v>
      </c>
      <c r="BQ4" s="2">
        <v>160</v>
      </c>
      <c r="BR4" s="2">
        <v>160</v>
      </c>
      <c r="BS4" s="2">
        <v>160</v>
      </c>
      <c r="BT4" s="2">
        <v>160</v>
      </c>
      <c r="BU4" s="2">
        <v>160</v>
      </c>
      <c r="BV4" s="2">
        <v>160</v>
      </c>
      <c r="BW4" s="2">
        <v>160</v>
      </c>
      <c r="BX4" s="2">
        <v>160</v>
      </c>
      <c r="BY4" s="2">
        <v>160</v>
      </c>
      <c r="BZ4" s="2">
        <v>160</v>
      </c>
      <c r="CA4" s="2">
        <v>160</v>
      </c>
      <c r="CB4" s="2">
        <v>160</v>
      </c>
      <c r="CC4" s="2">
        <v>160</v>
      </c>
      <c r="CD4" s="2">
        <v>160</v>
      </c>
      <c r="CE4" s="2">
        <v>160</v>
      </c>
      <c r="CF4" s="2">
        <v>160</v>
      </c>
      <c r="CG4" s="2">
        <v>160</v>
      </c>
      <c r="CH4" s="2">
        <v>160</v>
      </c>
      <c r="CI4" s="2">
        <v>160</v>
      </c>
      <c r="CJ4" s="2">
        <v>160</v>
      </c>
      <c r="CK4" s="2">
        <v>160</v>
      </c>
      <c r="CL4" s="2">
        <v>160</v>
      </c>
      <c r="CM4" s="2">
        <v>160</v>
      </c>
      <c r="CN4" s="2">
        <v>160</v>
      </c>
      <c r="CO4" s="2">
        <v>160</v>
      </c>
      <c r="CP4" s="2">
        <v>160</v>
      </c>
      <c r="CQ4" s="2">
        <v>160</v>
      </c>
      <c r="CR4" s="2">
        <v>160</v>
      </c>
      <c r="CS4" s="2">
        <v>160</v>
      </c>
      <c r="CT4" s="2">
        <v>160</v>
      </c>
      <c r="CU4" s="2">
        <v>160</v>
      </c>
      <c r="CV4" s="2">
        <v>160</v>
      </c>
      <c r="CW4" s="2">
        <v>160</v>
      </c>
      <c r="CX4" s="2">
        <v>160</v>
      </c>
      <c r="CY4" s="2">
        <v>160</v>
      </c>
      <c r="CZ4" s="2">
        <v>160</v>
      </c>
      <c r="DA4" s="2">
        <v>160</v>
      </c>
      <c r="DB4" s="2">
        <v>160</v>
      </c>
      <c r="DC4" s="2">
        <v>160</v>
      </c>
      <c r="DD4" s="2">
        <v>160</v>
      </c>
      <c r="DE4" s="2">
        <v>160</v>
      </c>
      <c r="DF4" s="2">
        <v>160</v>
      </c>
      <c r="DG4" s="2">
        <v>160</v>
      </c>
      <c r="DH4" s="2">
        <v>160</v>
      </c>
      <c r="DI4" s="2">
        <v>160</v>
      </c>
      <c r="DJ4" s="2">
        <v>160</v>
      </c>
      <c r="DK4" s="2">
        <v>160</v>
      </c>
      <c r="DL4" s="2">
        <v>160</v>
      </c>
      <c r="DM4" s="2">
        <v>160</v>
      </c>
      <c r="DN4" s="2">
        <v>160</v>
      </c>
      <c r="DO4" s="2">
        <v>160</v>
      </c>
      <c r="DP4" s="2">
        <v>160</v>
      </c>
      <c r="DQ4" s="2">
        <v>160</v>
      </c>
      <c r="DR4" s="2">
        <v>160</v>
      </c>
      <c r="DS4" s="2">
        <v>160</v>
      </c>
      <c r="DT4" s="2">
        <v>160</v>
      </c>
      <c r="DU4" s="2">
        <v>160</v>
      </c>
      <c r="DV4" s="2">
        <v>160</v>
      </c>
      <c r="DW4" s="2">
        <v>160</v>
      </c>
      <c r="DX4" s="2">
        <v>160</v>
      </c>
      <c r="DY4" s="2">
        <v>160</v>
      </c>
      <c r="DZ4" s="2">
        <v>160</v>
      </c>
      <c r="EA4" s="2">
        <v>160</v>
      </c>
      <c r="EB4" s="2">
        <v>160</v>
      </c>
      <c r="EC4" s="2">
        <v>160</v>
      </c>
      <c r="ED4" s="2">
        <v>160</v>
      </c>
      <c r="EE4" s="2">
        <v>160</v>
      </c>
      <c r="EF4" s="2">
        <v>160</v>
      </c>
      <c r="EG4" s="2">
        <v>160</v>
      </c>
      <c r="EH4" s="2">
        <v>160</v>
      </c>
      <c r="EI4" s="2">
        <v>160</v>
      </c>
      <c r="EJ4" s="2">
        <v>160</v>
      </c>
      <c r="EK4" s="2">
        <v>160</v>
      </c>
      <c r="EL4" s="2">
        <v>160</v>
      </c>
      <c r="EM4" s="2">
        <v>160</v>
      </c>
      <c r="EN4" s="2">
        <v>160</v>
      </c>
      <c r="EO4" s="2">
        <v>160</v>
      </c>
      <c r="EP4" s="2">
        <v>160</v>
      </c>
      <c r="EQ4" s="2">
        <v>160</v>
      </c>
      <c r="ER4" s="2">
        <v>160</v>
      </c>
      <c r="ES4" s="2">
        <v>160</v>
      </c>
      <c r="ET4" s="2">
        <v>160</v>
      </c>
      <c r="EU4" s="2">
        <v>160</v>
      </c>
      <c r="EV4" s="2">
        <v>160</v>
      </c>
      <c r="EW4" s="2">
        <v>160</v>
      </c>
      <c r="EX4" s="2">
        <v>160</v>
      </c>
      <c r="EY4" s="2">
        <v>160</v>
      </c>
      <c r="EZ4" s="2">
        <v>160</v>
      </c>
      <c r="FA4" s="2">
        <v>160</v>
      </c>
      <c r="FB4" s="2">
        <v>160</v>
      </c>
      <c r="FC4" s="2">
        <v>160</v>
      </c>
      <c r="FD4" s="2">
        <v>160</v>
      </c>
      <c r="FE4" s="2">
        <v>160</v>
      </c>
      <c r="FF4" s="2">
        <v>160</v>
      </c>
      <c r="FG4" s="2">
        <v>160</v>
      </c>
      <c r="FH4" s="2">
        <v>160</v>
      </c>
      <c r="FI4" s="2">
        <v>160</v>
      </c>
      <c r="FJ4" s="2">
        <v>160</v>
      </c>
      <c r="FK4" s="2">
        <v>160</v>
      </c>
      <c r="FL4" s="2">
        <v>160</v>
      </c>
      <c r="FM4" s="2">
        <v>160</v>
      </c>
      <c r="FN4" s="2">
        <v>160</v>
      </c>
      <c r="FO4" s="2">
        <v>160</v>
      </c>
      <c r="FP4" s="2">
        <v>160</v>
      </c>
      <c r="FQ4" s="2">
        <v>160</v>
      </c>
      <c r="FR4" s="2">
        <v>160</v>
      </c>
      <c r="FS4" s="2">
        <v>160</v>
      </c>
      <c r="FT4" s="2">
        <v>160</v>
      </c>
      <c r="FU4" s="2">
        <v>160</v>
      </c>
      <c r="FV4" s="2">
        <v>160</v>
      </c>
      <c r="FW4" s="2">
        <v>160</v>
      </c>
      <c r="FX4" s="2">
        <v>160</v>
      </c>
      <c r="FY4" s="2">
        <v>160</v>
      </c>
      <c r="FZ4" s="2">
        <v>160</v>
      </c>
      <c r="GA4" s="2">
        <v>160</v>
      </c>
      <c r="GB4" s="2">
        <v>160</v>
      </c>
      <c r="GC4" s="2">
        <v>160</v>
      </c>
      <c r="GD4" s="2">
        <v>160</v>
      </c>
      <c r="GE4" s="2">
        <v>160</v>
      </c>
      <c r="GF4" s="2">
        <v>160</v>
      </c>
      <c r="GG4" s="2">
        <v>160</v>
      </c>
      <c r="GH4" s="2">
        <v>160</v>
      </c>
      <c r="GI4" s="2">
        <v>160</v>
      </c>
      <c r="GJ4" s="2">
        <v>160</v>
      </c>
      <c r="GK4" s="2">
        <v>160</v>
      </c>
      <c r="GL4" s="2">
        <v>160</v>
      </c>
      <c r="GM4" s="2">
        <v>160</v>
      </c>
      <c r="GN4" s="2">
        <v>160</v>
      </c>
      <c r="GO4" s="2">
        <v>160</v>
      </c>
      <c r="GP4" s="2">
        <v>160</v>
      </c>
      <c r="GQ4" s="2">
        <v>160</v>
      </c>
      <c r="GR4" s="2">
        <v>160</v>
      </c>
      <c r="GS4" s="2">
        <v>160</v>
      </c>
      <c r="GT4" s="2">
        <v>160</v>
      </c>
      <c r="GU4" s="2">
        <v>160</v>
      </c>
      <c r="GV4" s="2">
        <v>160</v>
      </c>
      <c r="GW4" s="2">
        <v>160</v>
      </c>
      <c r="GX4" s="2">
        <v>160</v>
      </c>
      <c r="GY4" s="2">
        <v>160</v>
      </c>
      <c r="GZ4" s="2">
        <v>160</v>
      </c>
      <c r="HA4" s="2">
        <v>160</v>
      </c>
      <c r="HB4" s="2">
        <v>159</v>
      </c>
      <c r="HC4" s="2">
        <v>158</v>
      </c>
      <c r="HD4" s="2">
        <v>158</v>
      </c>
      <c r="HE4" s="2">
        <v>157</v>
      </c>
      <c r="HF4" s="3">
        <v>153</v>
      </c>
      <c r="HG4" s="2">
        <v>149</v>
      </c>
      <c r="HH4" s="2">
        <v>146</v>
      </c>
      <c r="HI4" s="2">
        <v>141</v>
      </c>
      <c r="HJ4" s="2">
        <v>134</v>
      </c>
      <c r="HK4" s="2">
        <v>126</v>
      </c>
      <c r="HL4" s="2">
        <v>115</v>
      </c>
      <c r="HM4" s="2">
        <v>99</v>
      </c>
      <c r="HN4" s="2">
        <v>88</v>
      </c>
      <c r="HO4" s="2">
        <v>64</v>
      </c>
      <c r="HP4" s="2">
        <v>48</v>
      </c>
      <c r="HQ4" s="2">
        <v>43</v>
      </c>
      <c r="HR4" s="2">
        <v>37</v>
      </c>
      <c r="HS4" s="2">
        <v>26</v>
      </c>
      <c r="HT4" s="2">
        <v>16</v>
      </c>
      <c r="HU4" s="2">
        <v>15</v>
      </c>
      <c r="HV4" s="2">
        <v>8</v>
      </c>
      <c r="HW4" s="2">
        <v>3</v>
      </c>
      <c r="HX4" s="2">
        <v>3</v>
      </c>
      <c r="HY4" s="2">
        <v>3</v>
      </c>
      <c r="HZ4" s="4">
        <v>1</v>
      </c>
      <c r="IA4" s="2">
        <v>1</v>
      </c>
      <c r="IB4" s="2">
        <v>1</v>
      </c>
      <c r="IC4" s="2">
        <v>0</v>
      </c>
    </row>
    <row r="5" spans="1:237">
      <c r="A5" s="2" t="s">
        <v>2</v>
      </c>
      <c r="B5" s="2">
        <v>108</v>
      </c>
      <c r="C5" s="2">
        <v>108</v>
      </c>
      <c r="D5" s="2">
        <v>108</v>
      </c>
      <c r="E5" s="2">
        <v>108</v>
      </c>
      <c r="F5" s="2">
        <v>108</v>
      </c>
      <c r="G5" s="2">
        <v>108</v>
      </c>
      <c r="H5" s="2">
        <v>108</v>
      </c>
      <c r="I5" s="2">
        <v>108</v>
      </c>
      <c r="J5" s="2">
        <v>108</v>
      </c>
      <c r="K5" s="2">
        <v>108</v>
      </c>
      <c r="L5" s="2">
        <v>108</v>
      </c>
      <c r="M5" s="2">
        <v>108</v>
      </c>
      <c r="N5" s="2">
        <v>108</v>
      </c>
      <c r="O5" s="2">
        <v>108</v>
      </c>
      <c r="P5" s="2">
        <v>108</v>
      </c>
      <c r="Q5" s="2">
        <v>108</v>
      </c>
      <c r="R5" s="2">
        <v>108</v>
      </c>
      <c r="S5" s="2">
        <v>108</v>
      </c>
      <c r="T5" s="2">
        <v>108</v>
      </c>
      <c r="U5" s="2">
        <v>108</v>
      </c>
      <c r="V5" s="2">
        <v>108</v>
      </c>
      <c r="W5" s="2">
        <v>108</v>
      </c>
      <c r="X5" s="2">
        <v>108</v>
      </c>
      <c r="Y5" s="2">
        <v>108</v>
      </c>
      <c r="Z5" s="2">
        <v>108</v>
      </c>
      <c r="AA5" s="2">
        <v>108</v>
      </c>
      <c r="AB5" s="2">
        <v>108</v>
      </c>
      <c r="AC5" s="2">
        <v>108</v>
      </c>
      <c r="AD5" s="2">
        <v>108</v>
      </c>
      <c r="AE5" s="2">
        <v>108</v>
      </c>
      <c r="AF5" s="2">
        <v>108</v>
      </c>
      <c r="AG5" s="2">
        <v>108</v>
      </c>
      <c r="AH5" s="2">
        <v>108</v>
      </c>
      <c r="AI5" s="2">
        <v>108</v>
      </c>
      <c r="AJ5" s="2">
        <v>108</v>
      </c>
      <c r="AK5" s="2">
        <v>108</v>
      </c>
      <c r="AL5" s="2">
        <v>108</v>
      </c>
      <c r="AM5" s="2">
        <v>108</v>
      </c>
      <c r="AN5" s="2">
        <v>108</v>
      </c>
      <c r="AO5" s="2">
        <v>108</v>
      </c>
      <c r="AP5" s="2">
        <v>108</v>
      </c>
      <c r="AQ5" s="2">
        <v>108</v>
      </c>
      <c r="AR5" s="2">
        <v>108</v>
      </c>
      <c r="AS5" s="2">
        <v>108</v>
      </c>
      <c r="AT5" s="2">
        <v>108</v>
      </c>
      <c r="AU5" s="2">
        <v>108</v>
      </c>
      <c r="AV5" s="2">
        <v>108</v>
      </c>
      <c r="AW5" s="2">
        <v>108</v>
      </c>
      <c r="AX5" s="2">
        <v>108</v>
      </c>
      <c r="AY5" s="2">
        <v>108</v>
      </c>
      <c r="AZ5" s="2">
        <v>108</v>
      </c>
      <c r="BA5" s="2">
        <v>108</v>
      </c>
      <c r="BB5" s="2">
        <v>108</v>
      </c>
      <c r="BC5" s="2">
        <v>108</v>
      </c>
      <c r="BD5" s="2">
        <v>108</v>
      </c>
      <c r="BE5" s="2">
        <v>108</v>
      </c>
      <c r="BF5" s="2">
        <v>108</v>
      </c>
      <c r="BG5" s="2">
        <v>108</v>
      </c>
      <c r="BH5" s="2">
        <v>108</v>
      </c>
      <c r="BI5" s="2">
        <v>108</v>
      </c>
      <c r="BJ5" s="2">
        <v>108</v>
      </c>
      <c r="BK5" s="2">
        <v>108</v>
      </c>
      <c r="BL5" s="2">
        <v>108</v>
      </c>
      <c r="BM5" s="2">
        <v>108</v>
      </c>
      <c r="BN5" s="2">
        <v>108</v>
      </c>
      <c r="BO5" s="2">
        <v>108</v>
      </c>
      <c r="BP5" s="2">
        <v>108</v>
      </c>
      <c r="BQ5" s="2">
        <v>108</v>
      </c>
      <c r="BR5" s="2">
        <v>108</v>
      </c>
      <c r="BS5" s="2">
        <v>108</v>
      </c>
      <c r="BT5" s="2">
        <v>108</v>
      </c>
      <c r="BU5" s="2">
        <v>108</v>
      </c>
      <c r="BV5" s="2">
        <v>108</v>
      </c>
      <c r="BW5" s="2">
        <v>108</v>
      </c>
      <c r="BX5" s="2">
        <v>108</v>
      </c>
      <c r="BY5" s="2">
        <v>108</v>
      </c>
      <c r="BZ5" s="2">
        <v>108</v>
      </c>
      <c r="CA5" s="2">
        <v>108</v>
      </c>
      <c r="CB5" s="2">
        <v>108</v>
      </c>
      <c r="CC5" s="2">
        <v>108</v>
      </c>
      <c r="CD5" s="2">
        <v>108</v>
      </c>
      <c r="CE5" s="2">
        <v>108</v>
      </c>
      <c r="CF5" s="2">
        <v>108</v>
      </c>
      <c r="CG5" s="2">
        <v>108</v>
      </c>
      <c r="CH5" s="2">
        <v>108</v>
      </c>
      <c r="CI5" s="2">
        <v>108</v>
      </c>
      <c r="CJ5" s="2">
        <v>108</v>
      </c>
      <c r="CK5" s="2">
        <v>108</v>
      </c>
      <c r="CL5" s="2">
        <v>108</v>
      </c>
      <c r="CM5" s="2">
        <v>108</v>
      </c>
      <c r="CN5" s="2">
        <v>108</v>
      </c>
      <c r="CO5" s="2">
        <v>108</v>
      </c>
      <c r="CP5" s="2">
        <v>108</v>
      </c>
      <c r="CQ5" s="2">
        <v>108</v>
      </c>
      <c r="CR5" s="2">
        <v>108</v>
      </c>
      <c r="CS5" s="2">
        <v>108</v>
      </c>
      <c r="CT5" s="2">
        <v>108</v>
      </c>
      <c r="CU5" s="2">
        <v>108</v>
      </c>
      <c r="CV5" s="2">
        <v>108</v>
      </c>
      <c r="CW5" s="2">
        <v>108</v>
      </c>
      <c r="CX5" s="2">
        <v>108</v>
      </c>
      <c r="CY5" s="2">
        <v>108</v>
      </c>
      <c r="CZ5" s="2">
        <v>108</v>
      </c>
      <c r="DA5" s="2">
        <v>108</v>
      </c>
      <c r="DB5" s="2">
        <v>108</v>
      </c>
      <c r="DC5" s="2">
        <v>108</v>
      </c>
      <c r="DD5" s="2">
        <v>108</v>
      </c>
      <c r="DE5" s="2">
        <v>108</v>
      </c>
      <c r="DF5" s="2">
        <v>108</v>
      </c>
      <c r="DG5" s="2">
        <v>108</v>
      </c>
      <c r="DH5" s="2">
        <v>108</v>
      </c>
      <c r="DI5" s="2">
        <v>108</v>
      </c>
      <c r="DJ5" s="2">
        <v>108</v>
      </c>
      <c r="DK5" s="2">
        <v>108</v>
      </c>
      <c r="DL5" s="2">
        <v>108</v>
      </c>
      <c r="DM5" s="2">
        <v>108</v>
      </c>
      <c r="DN5" s="2">
        <v>108</v>
      </c>
      <c r="DO5" s="2">
        <v>108</v>
      </c>
      <c r="DP5" s="2">
        <v>108</v>
      </c>
      <c r="DQ5" s="2">
        <v>108</v>
      </c>
      <c r="DR5" s="2">
        <v>108</v>
      </c>
      <c r="DS5" s="2">
        <v>108</v>
      </c>
      <c r="DT5" s="2">
        <v>108</v>
      </c>
      <c r="DU5" s="2">
        <v>108</v>
      </c>
      <c r="DV5" s="2">
        <v>108</v>
      </c>
      <c r="DW5" s="2">
        <v>108</v>
      </c>
      <c r="DX5" s="2">
        <v>108</v>
      </c>
      <c r="DY5" s="2">
        <v>108</v>
      </c>
      <c r="DZ5" s="2">
        <v>108</v>
      </c>
      <c r="EA5" s="2">
        <v>108</v>
      </c>
      <c r="EB5" s="2">
        <v>108</v>
      </c>
      <c r="EC5" s="2">
        <v>108</v>
      </c>
      <c r="ED5" s="2">
        <v>108</v>
      </c>
      <c r="EE5" s="2">
        <v>108</v>
      </c>
      <c r="EF5" s="2">
        <v>108</v>
      </c>
      <c r="EG5" s="2">
        <v>108</v>
      </c>
      <c r="EH5" s="2">
        <v>108</v>
      </c>
      <c r="EI5" s="2">
        <v>108</v>
      </c>
      <c r="EJ5" s="2">
        <v>108</v>
      </c>
      <c r="EK5" s="2">
        <v>108</v>
      </c>
      <c r="EL5" s="2">
        <v>108</v>
      </c>
      <c r="EM5" s="2">
        <v>108</v>
      </c>
      <c r="EN5" s="2">
        <v>108</v>
      </c>
      <c r="EO5" s="2">
        <v>108</v>
      </c>
      <c r="EP5" s="2">
        <v>108</v>
      </c>
      <c r="EQ5" s="2">
        <v>108</v>
      </c>
      <c r="ER5" s="2">
        <v>108</v>
      </c>
      <c r="ES5" s="2">
        <v>108</v>
      </c>
      <c r="ET5" s="2">
        <v>108</v>
      </c>
      <c r="EU5" s="2">
        <v>108</v>
      </c>
      <c r="EV5" s="2">
        <v>108</v>
      </c>
      <c r="EW5" s="2">
        <v>108</v>
      </c>
      <c r="EX5" s="2">
        <v>108</v>
      </c>
      <c r="EY5" s="2">
        <v>108</v>
      </c>
      <c r="EZ5" s="2">
        <v>108</v>
      </c>
      <c r="FA5" s="2">
        <v>108</v>
      </c>
      <c r="FB5" s="2">
        <v>108</v>
      </c>
      <c r="FC5" s="2">
        <v>108</v>
      </c>
      <c r="FD5" s="2">
        <v>108</v>
      </c>
      <c r="FE5" s="2">
        <v>108</v>
      </c>
      <c r="FF5" s="2">
        <v>108</v>
      </c>
      <c r="FG5" s="2">
        <v>108</v>
      </c>
      <c r="FH5" s="2">
        <v>108</v>
      </c>
      <c r="FI5" s="2">
        <v>108</v>
      </c>
      <c r="FJ5" s="2">
        <v>108</v>
      </c>
      <c r="FK5" s="2">
        <v>108</v>
      </c>
      <c r="FL5" s="2">
        <v>108</v>
      </c>
      <c r="FM5" s="2">
        <v>108</v>
      </c>
      <c r="FN5" s="2">
        <v>108</v>
      </c>
      <c r="FO5" s="2">
        <v>108</v>
      </c>
      <c r="FP5" s="2">
        <v>108</v>
      </c>
      <c r="FQ5" s="2">
        <v>108</v>
      </c>
      <c r="FR5" s="2">
        <v>108</v>
      </c>
      <c r="FS5" s="2">
        <v>108</v>
      </c>
      <c r="FT5" s="2">
        <v>108</v>
      </c>
      <c r="FU5" s="2">
        <v>108</v>
      </c>
      <c r="FV5" s="2">
        <v>108</v>
      </c>
      <c r="FW5" s="2">
        <v>108</v>
      </c>
      <c r="FX5" s="2">
        <v>108</v>
      </c>
      <c r="FY5" s="2">
        <v>108</v>
      </c>
      <c r="FZ5" s="2">
        <v>108</v>
      </c>
      <c r="GA5" s="2">
        <v>108</v>
      </c>
      <c r="GB5" s="2">
        <v>108</v>
      </c>
      <c r="GC5" s="2">
        <v>108</v>
      </c>
      <c r="GD5" s="2">
        <v>108</v>
      </c>
      <c r="GE5" s="2">
        <v>108</v>
      </c>
      <c r="GF5" s="2">
        <v>108</v>
      </c>
      <c r="GG5" s="2">
        <v>108</v>
      </c>
      <c r="GH5" s="2">
        <v>108</v>
      </c>
      <c r="GI5" s="2">
        <v>108</v>
      </c>
      <c r="GJ5" s="2">
        <v>108</v>
      </c>
      <c r="GK5" s="2">
        <v>108</v>
      </c>
      <c r="GL5" s="2">
        <v>108</v>
      </c>
      <c r="GM5" s="2">
        <v>108</v>
      </c>
      <c r="GN5" s="2">
        <v>108</v>
      </c>
      <c r="GO5" s="2">
        <v>108</v>
      </c>
      <c r="GP5" s="2">
        <v>108</v>
      </c>
      <c r="GQ5" s="2">
        <v>108</v>
      </c>
      <c r="GR5" s="2">
        <v>108</v>
      </c>
      <c r="GS5" s="2">
        <v>108</v>
      </c>
      <c r="GT5" s="2">
        <v>108</v>
      </c>
      <c r="GU5" s="2">
        <v>108</v>
      </c>
      <c r="GV5" s="2">
        <v>108</v>
      </c>
      <c r="GW5" s="2">
        <v>108</v>
      </c>
      <c r="GX5" s="2">
        <v>108</v>
      </c>
      <c r="GY5" s="2">
        <v>108</v>
      </c>
      <c r="GZ5" s="2">
        <v>108</v>
      </c>
      <c r="HA5" s="2">
        <v>108</v>
      </c>
      <c r="HB5" s="2">
        <v>108</v>
      </c>
      <c r="HC5" s="2">
        <v>108</v>
      </c>
      <c r="HD5" s="2">
        <v>108</v>
      </c>
      <c r="HE5" s="2">
        <v>108</v>
      </c>
      <c r="HF5" s="3">
        <v>107</v>
      </c>
      <c r="HG5" s="2">
        <v>106</v>
      </c>
      <c r="HH5" s="2">
        <v>100</v>
      </c>
      <c r="HI5" s="2">
        <v>97</v>
      </c>
      <c r="HJ5" s="2">
        <v>92</v>
      </c>
      <c r="HK5" s="2">
        <v>92</v>
      </c>
      <c r="HL5" s="2">
        <v>87</v>
      </c>
      <c r="HM5" s="2">
        <v>81</v>
      </c>
      <c r="HN5" s="2">
        <v>72</v>
      </c>
      <c r="HO5" s="2">
        <v>66</v>
      </c>
      <c r="HP5" s="2">
        <v>58</v>
      </c>
      <c r="HQ5" s="2">
        <v>48</v>
      </c>
      <c r="HR5" s="2">
        <v>39</v>
      </c>
      <c r="HS5" s="4">
        <v>30</v>
      </c>
      <c r="HT5" s="2">
        <v>25</v>
      </c>
      <c r="HU5" s="2">
        <v>20</v>
      </c>
      <c r="HV5" s="2">
        <v>20</v>
      </c>
      <c r="HW5" s="2">
        <v>15</v>
      </c>
      <c r="HX5" s="2">
        <v>8</v>
      </c>
      <c r="HY5" s="2">
        <v>6</v>
      </c>
      <c r="HZ5" s="2">
        <v>6</v>
      </c>
      <c r="IA5" s="2">
        <v>4</v>
      </c>
      <c r="IB5" s="2">
        <v>1</v>
      </c>
      <c r="IC5" s="2">
        <v>1</v>
      </c>
    </row>
    <row r="6" spans="1:237">
      <c r="A6" s="4" t="s">
        <v>14</v>
      </c>
      <c r="B6" s="4">
        <v>83</v>
      </c>
      <c r="C6" s="4">
        <v>83</v>
      </c>
      <c r="D6" s="4">
        <v>83</v>
      </c>
      <c r="E6" s="4">
        <v>83</v>
      </c>
      <c r="F6" s="4">
        <v>83</v>
      </c>
      <c r="G6" s="4">
        <v>83</v>
      </c>
      <c r="H6" s="4">
        <v>83</v>
      </c>
      <c r="I6" s="4">
        <v>83</v>
      </c>
      <c r="J6" s="4">
        <v>83</v>
      </c>
      <c r="K6" s="4">
        <v>83</v>
      </c>
      <c r="L6" s="4">
        <v>83</v>
      </c>
      <c r="M6" s="4">
        <v>83</v>
      </c>
      <c r="N6" s="4">
        <v>83</v>
      </c>
      <c r="O6" s="4">
        <v>83</v>
      </c>
      <c r="P6" s="4">
        <v>83</v>
      </c>
      <c r="Q6" s="4">
        <v>83</v>
      </c>
      <c r="R6" s="4">
        <v>83</v>
      </c>
      <c r="S6" s="4">
        <v>83</v>
      </c>
      <c r="T6" s="4">
        <v>83</v>
      </c>
      <c r="U6" s="4">
        <v>83</v>
      </c>
      <c r="V6" s="4">
        <v>83</v>
      </c>
      <c r="W6" s="4">
        <v>83</v>
      </c>
      <c r="X6" s="4">
        <v>83</v>
      </c>
      <c r="Y6" s="4">
        <v>83</v>
      </c>
      <c r="Z6" s="4">
        <v>83</v>
      </c>
      <c r="AA6" s="4">
        <v>83</v>
      </c>
      <c r="AB6" s="4">
        <v>83</v>
      </c>
      <c r="AC6" s="4">
        <v>83</v>
      </c>
      <c r="AD6" s="4">
        <v>83</v>
      </c>
      <c r="AE6" s="4">
        <v>83</v>
      </c>
      <c r="AF6" s="4">
        <v>83</v>
      </c>
      <c r="AG6" s="4">
        <v>83</v>
      </c>
      <c r="AH6" s="4">
        <v>83</v>
      </c>
      <c r="AI6" s="4">
        <v>83</v>
      </c>
      <c r="AJ6" s="4">
        <v>83</v>
      </c>
      <c r="AK6" s="4">
        <v>83</v>
      </c>
      <c r="AL6" s="4">
        <v>83</v>
      </c>
      <c r="AM6" s="4">
        <v>83</v>
      </c>
      <c r="AN6" s="4">
        <v>83</v>
      </c>
      <c r="AO6" s="4">
        <v>83</v>
      </c>
      <c r="AP6" s="4">
        <v>83</v>
      </c>
      <c r="AQ6" s="4">
        <v>83</v>
      </c>
      <c r="AR6" s="4">
        <v>83</v>
      </c>
      <c r="AS6" s="4">
        <v>83</v>
      </c>
      <c r="AT6" s="4">
        <v>83</v>
      </c>
      <c r="AU6" s="4">
        <v>83</v>
      </c>
      <c r="AV6" s="4">
        <v>83</v>
      </c>
      <c r="AW6" s="4">
        <v>83</v>
      </c>
      <c r="AX6" s="4">
        <v>83</v>
      </c>
      <c r="AY6" s="4">
        <v>83</v>
      </c>
      <c r="AZ6" s="4">
        <v>83</v>
      </c>
      <c r="BA6" s="4">
        <v>83</v>
      </c>
      <c r="BB6" s="4">
        <v>83</v>
      </c>
      <c r="BC6" s="4">
        <v>83</v>
      </c>
      <c r="BD6" s="4">
        <v>83</v>
      </c>
      <c r="BE6" s="4">
        <v>83</v>
      </c>
      <c r="BF6" s="4">
        <v>83</v>
      </c>
      <c r="BG6" s="4">
        <v>83</v>
      </c>
      <c r="BH6" s="4">
        <v>83</v>
      </c>
      <c r="BI6" s="4">
        <v>83</v>
      </c>
      <c r="BJ6" s="4">
        <v>83</v>
      </c>
      <c r="BK6" s="4">
        <v>83</v>
      </c>
      <c r="BL6" s="4">
        <v>83</v>
      </c>
      <c r="BM6" s="4">
        <v>83</v>
      </c>
      <c r="BN6" s="4">
        <v>83</v>
      </c>
      <c r="BO6" s="4">
        <v>83</v>
      </c>
      <c r="BP6" s="4">
        <v>83</v>
      </c>
      <c r="BQ6" s="4">
        <v>83</v>
      </c>
      <c r="BR6" s="4">
        <v>83</v>
      </c>
      <c r="BS6" s="4">
        <v>83</v>
      </c>
      <c r="BT6" s="4">
        <v>83</v>
      </c>
      <c r="BU6" s="4">
        <v>83</v>
      </c>
      <c r="BV6" s="4">
        <v>83</v>
      </c>
      <c r="BW6" s="4">
        <v>83</v>
      </c>
      <c r="BX6" s="4">
        <v>83</v>
      </c>
      <c r="BY6" s="4">
        <v>83</v>
      </c>
      <c r="BZ6" s="4">
        <v>83</v>
      </c>
      <c r="CA6" s="4">
        <v>83</v>
      </c>
      <c r="CB6" s="4">
        <v>83</v>
      </c>
      <c r="CC6" s="4">
        <v>83</v>
      </c>
      <c r="CD6" s="4">
        <v>83</v>
      </c>
      <c r="CE6" s="4">
        <v>83</v>
      </c>
      <c r="CF6" s="4">
        <v>83</v>
      </c>
      <c r="CG6" s="4">
        <v>83</v>
      </c>
      <c r="CH6" s="4">
        <v>83</v>
      </c>
      <c r="CI6" s="4">
        <v>83</v>
      </c>
      <c r="CJ6" s="4">
        <v>83</v>
      </c>
      <c r="CK6" s="4">
        <v>83</v>
      </c>
      <c r="CL6" s="4">
        <v>83</v>
      </c>
      <c r="CM6" s="4">
        <v>83</v>
      </c>
      <c r="CN6" s="4">
        <v>83</v>
      </c>
      <c r="CO6" s="4">
        <v>83</v>
      </c>
      <c r="CP6" s="4">
        <v>83</v>
      </c>
      <c r="CQ6" s="4">
        <v>83</v>
      </c>
      <c r="CR6" s="4">
        <v>83</v>
      </c>
      <c r="CS6" s="4">
        <v>83</v>
      </c>
      <c r="CT6" s="4">
        <v>83</v>
      </c>
      <c r="CU6" s="4">
        <v>83</v>
      </c>
      <c r="CV6" s="4">
        <v>83</v>
      </c>
      <c r="CW6" s="4">
        <v>83</v>
      </c>
      <c r="CX6" s="4">
        <v>83</v>
      </c>
      <c r="CY6" s="4">
        <v>83</v>
      </c>
      <c r="CZ6" s="4">
        <v>83</v>
      </c>
      <c r="DA6" s="4">
        <v>83</v>
      </c>
      <c r="DB6" s="4">
        <v>83</v>
      </c>
      <c r="DC6" s="4">
        <v>83</v>
      </c>
      <c r="DD6" s="4">
        <v>83</v>
      </c>
      <c r="DE6" s="4">
        <v>83</v>
      </c>
      <c r="DF6" s="4">
        <v>83</v>
      </c>
      <c r="DG6" s="4">
        <v>83</v>
      </c>
      <c r="DH6" s="4">
        <v>83</v>
      </c>
      <c r="DI6" s="4">
        <v>83</v>
      </c>
      <c r="DJ6" s="4">
        <v>83</v>
      </c>
      <c r="DK6" s="4">
        <v>83</v>
      </c>
      <c r="DL6" s="4">
        <v>83</v>
      </c>
      <c r="DM6" s="4">
        <v>83</v>
      </c>
      <c r="DN6" s="4">
        <v>83</v>
      </c>
      <c r="DO6" s="4">
        <v>83</v>
      </c>
      <c r="DP6" s="4">
        <v>83</v>
      </c>
      <c r="DQ6" s="4">
        <v>83</v>
      </c>
      <c r="DR6" s="4">
        <v>83</v>
      </c>
      <c r="DS6" s="4">
        <v>83</v>
      </c>
      <c r="DT6" s="4">
        <v>83</v>
      </c>
      <c r="DU6" s="4">
        <v>83</v>
      </c>
      <c r="DV6" s="4">
        <v>83</v>
      </c>
      <c r="DW6" s="4">
        <v>83</v>
      </c>
      <c r="DX6" s="4">
        <v>83</v>
      </c>
      <c r="DY6" s="4">
        <v>83</v>
      </c>
      <c r="DZ6" s="4">
        <v>83</v>
      </c>
      <c r="EA6" s="4">
        <v>83</v>
      </c>
      <c r="EB6" s="4">
        <v>83</v>
      </c>
      <c r="EC6" s="4">
        <v>83</v>
      </c>
      <c r="ED6" s="4">
        <v>83</v>
      </c>
      <c r="EE6" s="4">
        <v>83</v>
      </c>
      <c r="EF6" s="4">
        <v>83</v>
      </c>
      <c r="EG6" s="4">
        <v>83</v>
      </c>
      <c r="EH6" s="4">
        <v>83</v>
      </c>
      <c r="EI6" s="4">
        <v>83</v>
      </c>
      <c r="EJ6" s="4">
        <v>83</v>
      </c>
      <c r="EK6" s="4">
        <v>83</v>
      </c>
      <c r="EL6" s="4">
        <v>83</v>
      </c>
      <c r="EM6" s="4">
        <v>83</v>
      </c>
      <c r="EN6" s="4">
        <v>83</v>
      </c>
      <c r="EO6" s="4">
        <v>83</v>
      </c>
      <c r="EP6" s="4">
        <v>83</v>
      </c>
      <c r="EQ6" s="4">
        <v>83</v>
      </c>
      <c r="ER6" s="4">
        <v>83</v>
      </c>
      <c r="ES6" s="4">
        <v>83</v>
      </c>
      <c r="ET6" s="4">
        <v>83</v>
      </c>
      <c r="EU6" s="4">
        <v>83</v>
      </c>
      <c r="EV6" s="4">
        <v>83</v>
      </c>
      <c r="EW6" s="4">
        <v>83</v>
      </c>
      <c r="EX6" s="4">
        <v>83</v>
      </c>
      <c r="EY6" s="4">
        <v>83</v>
      </c>
      <c r="EZ6" s="4">
        <v>83</v>
      </c>
      <c r="FA6" s="4">
        <v>83</v>
      </c>
      <c r="FB6" s="4">
        <v>83</v>
      </c>
      <c r="FC6" s="4">
        <v>83</v>
      </c>
      <c r="FD6" s="4">
        <v>83</v>
      </c>
      <c r="FE6" s="4">
        <v>83</v>
      </c>
      <c r="FF6" s="4">
        <v>83</v>
      </c>
      <c r="FG6" s="4">
        <v>83</v>
      </c>
      <c r="FH6" s="4">
        <v>83</v>
      </c>
      <c r="FI6" s="4">
        <v>83</v>
      </c>
      <c r="FJ6" s="4">
        <v>83</v>
      </c>
      <c r="FK6" s="4">
        <v>83</v>
      </c>
      <c r="FL6" s="4">
        <v>83</v>
      </c>
      <c r="FM6" s="4">
        <v>83</v>
      </c>
      <c r="FN6" s="4">
        <v>83</v>
      </c>
      <c r="FO6" s="4">
        <v>83</v>
      </c>
      <c r="FP6" s="4">
        <v>83</v>
      </c>
      <c r="FQ6" s="4">
        <v>83</v>
      </c>
      <c r="FR6" s="4">
        <v>83</v>
      </c>
      <c r="FS6" s="4">
        <v>83</v>
      </c>
      <c r="FT6" s="4">
        <v>83</v>
      </c>
      <c r="FU6" s="4">
        <v>83</v>
      </c>
      <c r="FV6" s="4">
        <v>83</v>
      </c>
      <c r="FW6" s="4">
        <v>83</v>
      </c>
      <c r="FX6" s="4">
        <v>83</v>
      </c>
      <c r="FY6" s="4">
        <v>83</v>
      </c>
      <c r="FZ6" s="4">
        <v>83</v>
      </c>
      <c r="GA6" s="4">
        <v>83</v>
      </c>
      <c r="GB6" s="4">
        <v>83</v>
      </c>
      <c r="GC6" s="4">
        <v>83</v>
      </c>
      <c r="GD6" s="4">
        <v>83</v>
      </c>
      <c r="GE6" s="4">
        <v>83</v>
      </c>
      <c r="GF6" s="4">
        <v>83</v>
      </c>
      <c r="GG6" s="4">
        <v>83</v>
      </c>
      <c r="GH6" s="4">
        <v>83</v>
      </c>
      <c r="GI6" s="4">
        <v>83</v>
      </c>
      <c r="GJ6" s="4">
        <v>83</v>
      </c>
      <c r="GK6" s="4">
        <v>83</v>
      </c>
      <c r="GL6" s="4">
        <v>83</v>
      </c>
      <c r="GM6" s="4">
        <v>83</v>
      </c>
      <c r="GN6" s="4">
        <v>83</v>
      </c>
      <c r="GO6" s="4">
        <v>83</v>
      </c>
      <c r="GP6" s="4">
        <v>83</v>
      </c>
      <c r="GQ6" s="4">
        <v>83</v>
      </c>
      <c r="GR6" s="4">
        <v>83</v>
      </c>
      <c r="GS6" s="4">
        <v>83</v>
      </c>
      <c r="GT6" s="4">
        <v>83</v>
      </c>
      <c r="GU6" s="4">
        <v>83</v>
      </c>
      <c r="GV6" s="4">
        <v>83</v>
      </c>
      <c r="GW6" s="4">
        <v>83</v>
      </c>
      <c r="GX6" s="4">
        <v>83</v>
      </c>
      <c r="GY6" s="4">
        <v>83</v>
      </c>
      <c r="GZ6" s="4">
        <v>83</v>
      </c>
      <c r="HA6" s="4">
        <v>83</v>
      </c>
      <c r="HB6" s="4">
        <v>83</v>
      </c>
      <c r="HC6" s="4">
        <v>83</v>
      </c>
      <c r="HD6" s="4">
        <v>83</v>
      </c>
      <c r="HE6" s="4">
        <v>82</v>
      </c>
      <c r="HF6" s="5">
        <v>82</v>
      </c>
      <c r="HG6" s="4">
        <v>81</v>
      </c>
      <c r="HH6" s="4">
        <v>80</v>
      </c>
      <c r="HI6" s="4">
        <v>80</v>
      </c>
      <c r="HJ6" s="2">
        <v>80</v>
      </c>
      <c r="HK6" s="2">
        <v>78</v>
      </c>
      <c r="HL6" s="2">
        <v>75</v>
      </c>
      <c r="HM6" s="2">
        <v>71</v>
      </c>
      <c r="HN6" s="2">
        <v>66</v>
      </c>
      <c r="HO6" s="2">
        <v>60</v>
      </c>
      <c r="HP6" s="2">
        <v>56</v>
      </c>
      <c r="HQ6" s="2">
        <v>55</v>
      </c>
      <c r="HR6" s="2">
        <v>47</v>
      </c>
      <c r="HS6" s="4">
        <v>43</v>
      </c>
      <c r="HT6" s="2">
        <v>37</v>
      </c>
      <c r="HU6" s="2">
        <v>24</v>
      </c>
      <c r="HV6" s="2">
        <v>24</v>
      </c>
      <c r="HW6" s="2">
        <v>18</v>
      </c>
      <c r="HX6" s="2">
        <v>8</v>
      </c>
      <c r="HY6" s="2">
        <v>8</v>
      </c>
      <c r="HZ6" s="2">
        <v>5</v>
      </c>
      <c r="IA6" s="2">
        <v>4</v>
      </c>
      <c r="IB6" s="2">
        <v>1</v>
      </c>
      <c r="IC6" s="2">
        <v>0</v>
      </c>
    </row>
    <row r="7" spans="1:237">
      <c r="A7" s="4" t="s">
        <v>8</v>
      </c>
      <c r="B7" s="4">
        <v>69</v>
      </c>
      <c r="C7" s="4">
        <v>69</v>
      </c>
      <c r="D7" s="4">
        <v>69</v>
      </c>
      <c r="E7" s="4">
        <v>69</v>
      </c>
      <c r="F7" s="4">
        <v>69</v>
      </c>
      <c r="G7" s="4">
        <v>69</v>
      </c>
      <c r="H7" s="4">
        <v>69</v>
      </c>
      <c r="I7" s="4">
        <v>69</v>
      </c>
      <c r="J7" s="4">
        <v>69</v>
      </c>
      <c r="K7" s="4">
        <v>69</v>
      </c>
      <c r="L7" s="4">
        <v>69</v>
      </c>
      <c r="M7" s="4">
        <v>69</v>
      </c>
      <c r="N7" s="4">
        <v>69</v>
      </c>
      <c r="O7" s="4">
        <v>69</v>
      </c>
      <c r="P7" s="4">
        <v>69</v>
      </c>
      <c r="Q7" s="4">
        <v>69</v>
      </c>
      <c r="R7" s="4">
        <v>69</v>
      </c>
      <c r="S7" s="4">
        <v>69</v>
      </c>
      <c r="T7" s="4">
        <v>69</v>
      </c>
      <c r="U7" s="4">
        <v>69</v>
      </c>
      <c r="V7" s="4">
        <v>69</v>
      </c>
      <c r="W7" s="4">
        <v>69</v>
      </c>
      <c r="X7" s="4">
        <v>69</v>
      </c>
      <c r="Y7" s="4">
        <v>69</v>
      </c>
      <c r="Z7" s="4">
        <v>69</v>
      </c>
      <c r="AA7" s="4">
        <v>69</v>
      </c>
      <c r="AB7" s="4">
        <v>69</v>
      </c>
      <c r="AC7" s="4">
        <v>69</v>
      </c>
      <c r="AD7" s="4">
        <v>69</v>
      </c>
      <c r="AE7" s="4">
        <v>69</v>
      </c>
      <c r="AF7" s="4">
        <v>69</v>
      </c>
      <c r="AG7" s="4">
        <v>69</v>
      </c>
      <c r="AH7" s="4">
        <v>69</v>
      </c>
      <c r="AI7" s="4">
        <v>69</v>
      </c>
      <c r="AJ7" s="4">
        <v>69</v>
      </c>
      <c r="AK7" s="4">
        <v>69</v>
      </c>
      <c r="AL7" s="4">
        <v>69</v>
      </c>
      <c r="AM7" s="4">
        <v>69</v>
      </c>
      <c r="AN7" s="4">
        <v>69</v>
      </c>
      <c r="AO7" s="4">
        <v>69</v>
      </c>
      <c r="AP7" s="4">
        <v>69</v>
      </c>
      <c r="AQ7" s="4">
        <v>69</v>
      </c>
      <c r="AR7" s="4">
        <v>69</v>
      </c>
      <c r="AS7" s="4">
        <v>69</v>
      </c>
      <c r="AT7" s="4">
        <v>69</v>
      </c>
      <c r="AU7" s="4">
        <v>69</v>
      </c>
      <c r="AV7" s="4">
        <v>69</v>
      </c>
      <c r="AW7" s="4">
        <v>69</v>
      </c>
      <c r="AX7" s="4">
        <v>69</v>
      </c>
      <c r="AY7" s="4">
        <v>69</v>
      </c>
      <c r="AZ7" s="4">
        <v>69</v>
      </c>
      <c r="BA7" s="4">
        <v>69</v>
      </c>
      <c r="BB7" s="4">
        <v>69</v>
      </c>
      <c r="BC7" s="4">
        <v>69</v>
      </c>
      <c r="BD7" s="4">
        <v>69</v>
      </c>
      <c r="BE7" s="4">
        <v>69</v>
      </c>
      <c r="BF7" s="4">
        <v>69</v>
      </c>
      <c r="BG7" s="4">
        <v>69</v>
      </c>
      <c r="BH7" s="4">
        <v>69</v>
      </c>
      <c r="BI7" s="4">
        <v>69</v>
      </c>
      <c r="BJ7" s="4">
        <v>69</v>
      </c>
      <c r="BK7" s="4">
        <v>69</v>
      </c>
      <c r="BL7" s="4">
        <v>69</v>
      </c>
      <c r="BM7" s="4">
        <v>69</v>
      </c>
      <c r="BN7" s="4">
        <v>69</v>
      </c>
      <c r="BO7" s="4">
        <v>69</v>
      </c>
      <c r="BP7" s="4">
        <v>69</v>
      </c>
      <c r="BQ7" s="4">
        <v>69</v>
      </c>
      <c r="BR7" s="4">
        <v>69</v>
      </c>
      <c r="BS7" s="4">
        <v>69</v>
      </c>
      <c r="BT7" s="4">
        <v>69</v>
      </c>
      <c r="BU7" s="4">
        <v>69</v>
      </c>
      <c r="BV7" s="4">
        <v>69</v>
      </c>
      <c r="BW7" s="4">
        <v>69</v>
      </c>
      <c r="BX7" s="4">
        <v>69</v>
      </c>
      <c r="BY7" s="4">
        <v>69</v>
      </c>
      <c r="BZ7" s="4">
        <v>69</v>
      </c>
      <c r="CA7" s="4">
        <v>69</v>
      </c>
      <c r="CB7" s="4">
        <v>69</v>
      </c>
      <c r="CC7" s="4">
        <v>69</v>
      </c>
      <c r="CD7" s="4">
        <v>69</v>
      </c>
      <c r="CE7" s="4">
        <v>69</v>
      </c>
      <c r="CF7" s="4">
        <v>69</v>
      </c>
      <c r="CG7" s="4">
        <v>69</v>
      </c>
      <c r="CH7" s="4">
        <v>69</v>
      </c>
      <c r="CI7" s="4">
        <v>69</v>
      </c>
      <c r="CJ7" s="4">
        <v>69</v>
      </c>
      <c r="CK7" s="4">
        <v>69</v>
      </c>
      <c r="CL7" s="4">
        <v>69</v>
      </c>
      <c r="CM7" s="4">
        <v>69</v>
      </c>
      <c r="CN7" s="4">
        <v>69</v>
      </c>
      <c r="CO7" s="4">
        <v>69</v>
      </c>
      <c r="CP7" s="4">
        <v>69</v>
      </c>
      <c r="CQ7" s="4">
        <v>69</v>
      </c>
      <c r="CR7" s="4">
        <v>69</v>
      </c>
      <c r="CS7" s="4">
        <v>69</v>
      </c>
      <c r="CT7" s="4">
        <v>69</v>
      </c>
      <c r="CU7" s="4">
        <v>69</v>
      </c>
      <c r="CV7" s="4">
        <v>69</v>
      </c>
      <c r="CW7" s="4">
        <v>69</v>
      </c>
      <c r="CX7" s="4">
        <v>69</v>
      </c>
      <c r="CY7" s="4">
        <v>69</v>
      </c>
      <c r="CZ7" s="4">
        <v>69</v>
      </c>
      <c r="DA7" s="4">
        <v>69</v>
      </c>
      <c r="DB7" s="4">
        <v>69</v>
      </c>
      <c r="DC7" s="4">
        <v>69</v>
      </c>
      <c r="DD7" s="4">
        <v>69</v>
      </c>
      <c r="DE7" s="4">
        <v>69</v>
      </c>
      <c r="DF7" s="4">
        <v>69</v>
      </c>
      <c r="DG7" s="4">
        <v>69</v>
      </c>
      <c r="DH7" s="4">
        <v>69</v>
      </c>
      <c r="DI7" s="4">
        <v>69</v>
      </c>
      <c r="DJ7" s="4">
        <v>69</v>
      </c>
      <c r="DK7" s="4">
        <v>69</v>
      </c>
      <c r="DL7" s="4">
        <v>69</v>
      </c>
      <c r="DM7" s="4">
        <v>69</v>
      </c>
      <c r="DN7" s="4">
        <v>69</v>
      </c>
      <c r="DO7" s="4">
        <v>69</v>
      </c>
      <c r="DP7" s="4">
        <v>69</v>
      </c>
      <c r="DQ7" s="4">
        <v>69</v>
      </c>
      <c r="DR7" s="4">
        <v>69</v>
      </c>
      <c r="DS7" s="4">
        <v>69</v>
      </c>
      <c r="DT7" s="4">
        <v>69</v>
      </c>
      <c r="DU7" s="4">
        <v>69</v>
      </c>
      <c r="DV7" s="4">
        <v>69</v>
      </c>
      <c r="DW7" s="4">
        <v>69</v>
      </c>
      <c r="DX7" s="4">
        <v>69</v>
      </c>
      <c r="DY7" s="4">
        <v>69</v>
      </c>
      <c r="DZ7" s="4">
        <v>69</v>
      </c>
      <c r="EA7" s="4">
        <v>69</v>
      </c>
      <c r="EB7" s="4">
        <v>69</v>
      </c>
      <c r="EC7" s="4">
        <v>69</v>
      </c>
      <c r="ED7" s="4">
        <v>69</v>
      </c>
      <c r="EE7" s="4">
        <v>69</v>
      </c>
      <c r="EF7" s="4">
        <v>69</v>
      </c>
      <c r="EG7" s="4">
        <v>69</v>
      </c>
      <c r="EH7" s="4">
        <v>69</v>
      </c>
      <c r="EI7" s="4">
        <v>69</v>
      </c>
      <c r="EJ7" s="4">
        <v>69</v>
      </c>
      <c r="EK7" s="4">
        <v>69</v>
      </c>
      <c r="EL7" s="4">
        <v>69</v>
      </c>
      <c r="EM7" s="4">
        <v>69</v>
      </c>
      <c r="EN7" s="4">
        <v>69</v>
      </c>
      <c r="EO7" s="4">
        <v>69</v>
      </c>
      <c r="EP7" s="4">
        <v>69</v>
      </c>
      <c r="EQ7" s="4">
        <v>69</v>
      </c>
      <c r="ER7" s="4">
        <v>69</v>
      </c>
      <c r="ES7" s="4">
        <v>69</v>
      </c>
      <c r="ET7" s="4">
        <v>69</v>
      </c>
      <c r="EU7" s="4">
        <v>69</v>
      </c>
      <c r="EV7" s="4">
        <v>69</v>
      </c>
      <c r="EW7" s="4">
        <v>69</v>
      </c>
      <c r="EX7" s="4">
        <v>69</v>
      </c>
      <c r="EY7" s="4">
        <v>69</v>
      </c>
      <c r="EZ7" s="4">
        <v>69</v>
      </c>
      <c r="FA7" s="4">
        <v>69</v>
      </c>
      <c r="FB7" s="4">
        <v>69</v>
      </c>
      <c r="FC7" s="4">
        <v>69</v>
      </c>
      <c r="FD7" s="4">
        <v>69</v>
      </c>
      <c r="FE7" s="4">
        <v>69</v>
      </c>
      <c r="FF7" s="4">
        <v>69</v>
      </c>
      <c r="FG7" s="4">
        <v>69</v>
      </c>
      <c r="FH7" s="4">
        <v>69</v>
      </c>
      <c r="FI7" s="4">
        <v>69</v>
      </c>
      <c r="FJ7" s="4">
        <v>69</v>
      </c>
      <c r="FK7" s="4">
        <v>69</v>
      </c>
      <c r="FL7" s="4">
        <v>69</v>
      </c>
      <c r="FM7" s="4">
        <v>69</v>
      </c>
      <c r="FN7" s="4">
        <v>69</v>
      </c>
      <c r="FO7" s="4">
        <v>69</v>
      </c>
      <c r="FP7" s="4">
        <v>69</v>
      </c>
      <c r="FQ7" s="4">
        <v>69</v>
      </c>
      <c r="FR7" s="4">
        <v>69</v>
      </c>
      <c r="FS7" s="4">
        <v>69</v>
      </c>
      <c r="FT7" s="4">
        <v>69</v>
      </c>
      <c r="FU7" s="4">
        <v>69</v>
      </c>
      <c r="FV7" s="4">
        <v>69</v>
      </c>
      <c r="FW7" s="4">
        <v>69</v>
      </c>
      <c r="FX7" s="4">
        <v>69</v>
      </c>
      <c r="FY7" s="4">
        <v>69</v>
      </c>
      <c r="FZ7" s="4">
        <v>69</v>
      </c>
      <c r="GA7" s="4">
        <v>69</v>
      </c>
      <c r="GB7" s="4">
        <v>69</v>
      </c>
      <c r="GC7" s="4">
        <v>69</v>
      </c>
      <c r="GD7" s="4">
        <v>69</v>
      </c>
      <c r="GE7" s="4">
        <v>69</v>
      </c>
      <c r="GF7" s="4">
        <v>69</v>
      </c>
      <c r="GG7" s="4">
        <v>69</v>
      </c>
      <c r="GH7" s="4">
        <v>69</v>
      </c>
      <c r="GI7" s="4">
        <v>69</v>
      </c>
      <c r="GJ7" s="4">
        <v>69</v>
      </c>
      <c r="GK7" s="4">
        <v>69</v>
      </c>
      <c r="GL7" s="4">
        <v>69</v>
      </c>
      <c r="GM7" s="4">
        <v>69</v>
      </c>
      <c r="GN7" s="4">
        <v>69</v>
      </c>
      <c r="GO7" s="4">
        <v>69</v>
      </c>
      <c r="GP7" s="4">
        <v>69</v>
      </c>
      <c r="GQ7" s="4">
        <v>69</v>
      </c>
      <c r="GR7" s="4">
        <v>69</v>
      </c>
      <c r="GS7" s="4">
        <v>69</v>
      </c>
      <c r="GT7" s="4">
        <v>69</v>
      </c>
      <c r="GU7" s="4">
        <v>69</v>
      </c>
      <c r="GV7" s="4">
        <v>69</v>
      </c>
      <c r="GW7" s="4">
        <v>69</v>
      </c>
      <c r="GX7" s="4">
        <v>69</v>
      </c>
      <c r="GY7" s="4">
        <v>69</v>
      </c>
      <c r="GZ7" s="4">
        <v>69</v>
      </c>
      <c r="HA7" s="4">
        <v>69</v>
      </c>
      <c r="HB7" s="4">
        <v>69</v>
      </c>
      <c r="HC7" s="4">
        <v>68</v>
      </c>
      <c r="HD7" s="4">
        <v>68</v>
      </c>
      <c r="HE7" s="4">
        <v>65</v>
      </c>
      <c r="HF7" s="5">
        <v>63</v>
      </c>
      <c r="HG7" s="4">
        <v>61</v>
      </c>
      <c r="HH7" s="4">
        <v>60</v>
      </c>
      <c r="HI7" s="4">
        <v>59</v>
      </c>
      <c r="HJ7" s="2">
        <v>59</v>
      </c>
      <c r="HK7" s="2">
        <v>57</v>
      </c>
      <c r="HL7" s="2">
        <v>54</v>
      </c>
      <c r="HM7" s="2">
        <v>51</v>
      </c>
      <c r="HN7" s="2">
        <v>41</v>
      </c>
      <c r="HO7" s="2">
        <v>36</v>
      </c>
      <c r="HP7" s="2">
        <v>34</v>
      </c>
      <c r="HQ7" s="2">
        <v>30</v>
      </c>
      <c r="HR7" s="2">
        <v>20</v>
      </c>
      <c r="HS7" s="2">
        <v>13</v>
      </c>
      <c r="HT7" s="2">
        <v>13</v>
      </c>
      <c r="HU7" s="2">
        <v>9</v>
      </c>
      <c r="HV7" s="2">
        <v>8</v>
      </c>
      <c r="HW7" s="2">
        <v>6</v>
      </c>
      <c r="HX7" s="2">
        <v>4</v>
      </c>
      <c r="HY7" s="2">
        <v>3</v>
      </c>
      <c r="HZ7" s="2">
        <v>3</v>
      </c>
      <c r="IA7" s="2">
        <v>2</v>
      </c>
      <c r="IB7" s="2">
        <v>2</v>
      </c>
      <c r="IC7" s="2">
        <v>1</v>
      </c>
    </row>
    <row r="8" spans="1:237">
      <c r="A8" s="4" t="s">
        <v>9</v>
      </c>
      <c r="B8" s="4">
        <v>38</v>
      </c>
      <c r="C8" s="4">
        <v>38</v>
      </c>
      <c r="D8" s="4">
        <v>38</v>
      </c>
      <c r="E8" s="4">
        <v>38</v>
      </c>
      <c r="F8" s="4">
        <v>38</v>
      </c>
      <c r="G8" s="4">
        <v>38</v>
      </c>
      <c r="H8" s="4">
        <v>38</v>
      </c>
      <c r="I8" s="4">
        <v>38</v>
      </c>
      <c r="J8" s="4">
        <v>38</v>
      </c>
      <c r="K8" s="4">
        <v>38</v>
      </c>
      <c r="L8" s="4">
        <v>38</v>
      </c>
      <c r="M8" s="4">
        <v>38</v>
      </c>
      <c r="N8" s="4">
        <v>38</v>
      </c>
      <c r="O8" s="4">
        <v>38</v>
      </c>
      <c r="P8" s="4">
        <v>38</v>
      </c>
      <c r="Q8" s="4">
        <v>38</v>
      </c>
      <c r="R8" s="4">
        <v>38</v>
      </c>
      <c r="S8" s="4">
        <v>38</v>
      </c>
      <c r="T8" s="4">
        <v>38</v>
      </c>
      <c r="U8" s="4">
        <v>38</v>
      </c>
      <c r="V8" s="4">
        <v>38</v>
      </c>
      <c r="W8" s="4">
        <v>38</v>
      </c>
      <c r="X8" s="4">
        <v>38</v>
      </c>
      <c r="Y8" s="4">
        <v>38</v>
      </c>
      <c r="Z8" s="4">
        <v>38</v>
      </c>
      <c r="AA8" s="4">
        <v>38</v>
      </c>
      <c r="AB8" s="4">
        <v>38</v>
      </c>
      <c r="AC8" s="4">
        <v>38</v>
      </c>
      <c r="AD8" s="4">
        <v>38</v>
      </c>
      <c r="AE8" s="4">
        <v>38</v>
      </c>
      <c r="AF8" s="4">
        <v>38</v>
      </c>
      <c r="AG8" s="4">
        <v>38</v>
      </c>
      <c r="AH8" s="4">
        <v>38</v>
      </c>
      <c r="AI8" s="4">
        <v>38</v>
      </c>
      <c r="AJ8" s="4">
        <v>38</v>
      </c>
      <c r="AK8" s="4">
        <v>38</v>
      </c>
      <c r="AL8" s="4">
        <v>38</v>
      </c>
      <c r="AM8" s="4">
        <v>38</v>
      </c>
      <c r="AN8" s="4">
        <v>38</v>
      </c>
      <c r="AO8" s="4">
        <v>38</v>
      </c>
      <c r="AP8" s="4">
        <v>38</v>
      </c>
      <c r="AQ8" s="4">
        <v>38</v>
      </c>
      <c r="AR8" s="4">
        <v>38</v>
      </c>
      <c r="AS8" s="4">
        <v>38</v>
      </c>
      <c r="AT8" s="4">
        <v>38</v>
      </c>
      <c r="AU8" s="4">
        <v>38</v>
      </c>
      <c r="AV8" s="4">
        <v>38</v>
      </c>
      <c r="AW8" s="4">
        <v>38</v>
      </c>
      <c r="AX8" s="4">
        <v>38</v>
      </c>
      <c r="AY8" s="4">
        <v>38</v>
      </c>
      <c r="AZ8" s="4">
        <v>38</v>
      </c>
      <c r="BA8" s="4">
        <v>38</v>
      </c>
      <c r="BB8" s="4">
        <v>38</v>
      </c>
      <c r="BC8" s="4">
        <v>38</v>
      </c>
      <c r="BD8" s="4">
        <v>38</v>
      </c>
      <c r="BE8" s="4">
        <v>38</v>
      </c>
      <c r="BF8" s="4">
        <v>38</v>
      </c>
      <c r="BG8" s="4">
        <v>38</v>
      </c>
      <c r="BH8" s="4">
        <v>38</v>
      </c>
      <c r="BI8" s="4">
        <v>38</v>
      </c>
      <c r="BJ8" s="4">
        <v>38</v>
      </c>
      <c r="BK8" s="4">
        <v>38</v>
      </c>
      <c r="BL8" s="4">
        <v>38</v>
      </c>
      <c r="BM8" s="4">
        <v>38</v>
      </c>
      <c r="BN8" s="4">
        <v>38</v>
      </c>
      <c r="BO8" s="4">
        <v>38</v>
      </c>
      <c r="BP8" s="4">
        <v>38</v>
      </c>
      <c r="BQ8" s="4">
        <v>38</v>
      </c>
      <c r="BR8" s="4">
        <v>38</v>
      </c>
      <c r="BS8" s="4">
        <v>38</v>
      </c>
      <c r="BT8" s="4">
        <v>38</v>
      </c>
      <c r="BU8" s="4">
        <v>38</v>
      </c>
      <c r="BV8" s="4">
        <v>38</v>
      </c>
      <c r="BW8" s="4">
        <v>38</v>
      </c>
      <c r="BX8" s="4">
        <v>38</v>
      </c>
      <c r="BY8" s="4">
        <v>38</v>
      </c>
      <c r="BZ8" s="4">
        <v>38</v>
      </c>
      <c r="CA8" s="4">
        <v>38</v>
      </c>
      <c r="CB8" s="4">
        <v>38</v>
      </c>
      <c r="CC8" s="4">
        <v>38</v>
      </c>
      <c r="CD8" s="4">
        <v>38</v>
      </c>
      <c r="CE8" s="4">
        <v>38</v>
      </c>
      <c r="CF8" s="4">
        <v>38</v>
      </c>
      <c r="CG8" s="4">
        <v>38</v>
      </c>
      <c r="CH8" s="4">
        <v>38</v>
      </c>
      <c r="CI8" s="4">
        <v>38</v>
      </c>
      <c r="CJ8" s="4">
        <v>38</v>
      </c>
      <c r="CK8" s="4">
        <v>38</v>
      </c>
      <c r="CL8" s="4">
        <v>38</v>
      </c>
      <c r="CM8" s="4">
        <v>38</v>
      </c>
      <c r="CN8" s="4">
        <v>38</v>
      </c>
      <c r="CO8" s="4">
        <v>38</v>
      </c>
      <c r="CP8" s="4">
        <v>38</v>
      </c>
      <c r="CQ8" s="4">
        <v>38</v>
      </c>
      <c r="CR8" s="4">
        <v>38</v>
      </c>
      <c r="CS8" s="4">
        <v>38</v>
      </c>
      <c r="CT8" s="4">
        <v>38</v>
      </c>
      <c r="CU8" s="4">
        <v>38</v>
      </c>
      <c r="CV8" s="4">
        <v>38</v>
      </c>
      <c r="CW8" s="4">
        <v>38</v>
      </c>
      <c r="CX8" s="4">
        <v>38</v>
      </c>
      <c r="CY8" s="4">
        <v>38</v>
      </c>
      <c r="CZ8" s="4">
        <v>38</v>
      </c>
      <c r="DA8" s="4">
        <v>38</v>
      </c>
      <c r="DB8" s="4">
        <v>38</v>
      </c>
      <c r="DC8" s="4">
        <v>38</v>
      </c>
      <c r="DD8" s="4">
        <v>38</v>
      </c>
      <c r="DE8" s="4">
        <v>38</v>
      </c>
      <c r="DF8" s="4">
        <v>38</v>
      </c>
      <c r="DG8" s="4">
        <v>38</v>
      </c>
      <c r="DH8" s="4">
        <v>38</v>
      </c>
      <c r="DI8" s="4">
        <v>38</v>
      </c>
      <c r="DJ8" s="4">
        <v>38</v>
      </c>
      <c r="DK8" s="4">
        <v>38</v>
      </c>
      <c r="DL8" s="4">
        <v>38</v>
      </c>
      <c r="DM8" s="4">
        <v>38</v>
      </c>
      <c r="DN8" s="4">
        <v>38</v>
      </c>
      <c r="DO8" s="4">
        <v>38</v>
      </c>
      <c r="DP8" s="4">
        <v>38</v>
      </c>
      <c r="DQ8" s="4">
        <v>38</v>
      </c>
      <c r="DR8" s="4">
        <v>38</v>
      </c>
      <c r="DS8" s="4">
        <v>38</v>
      </c>
      <c r="DT8" s="4">
        <v>38</v>
      </c>
      <c r="DU8" s="4">
        <v>38</v>
      </c>
      <c r="DV8" s="4">
        <v>38</v>
      </c>
      <c r="DW8" s="4">
        <v>38</v>
      </c>
      <c r="DX8" s="4">
        <v>38</v>
      </c>
      <c r="DY8" s="4">
        <v>38</v>
      </c>
      <c r="DZ8" s="4">
        <v>38</v>
      </c>
      <c r="EA8" s="4">
        <v>38</v>
      </c>
      <c r="EB8" s="4">
        <v>38</v>
      </c>
      <c r="EC8" s="4">
        <v>38</v>
      </c>
      <c r="ED8" s="4">
        <v>38</v>
      </c>
      <c r="EE8" s="4">
        <v>38</v>
      </c>
      <c r="EF8" s="4">
        <v>38</v>
      </c>
      <c r="EG8" s="4">
        <v>38</v>
      </c>
      <c r="EH8" s="4">
        <v>38</v>
      </c>
      <c r="EI8" s="4">
        <v>38</v>
      </c>
      <c r="EJ8" s="4">
        <v>38</v>
      </c>
      <c r="EK8" s="4">
        <v>38</v>
      </c>
      <c r="EL8" s="4">
        <v>38</v>
      </c>
      <c r="EM8" s="4">
        <v>38</v>
      </c>
      <c r="EN8" s="4">
        <v>38</v>
      </c>
      <c r="EO8" s="4">
        <v>38</v>
      </c>
      <c r="EP8" s="4">
        <v>38</v>
      </c>
      <c r="EQ8" s="4">
        <v>38</v>
      </c>
      <c r="ER8" s="4">
        <v>38</v>
      </c>
      <c r="ES8" s="4">
        <v>38</v>
      </c>
      <c r="ET8" s="4">
        <v>38</v>
      </c>
      <c r="EU8" s="4">
        <v>38</v>
      </c>
      <c r="EV8" s="4">
        <v>38</v>
      </c>
      <c r="EW8" s="4">
        <v>38</v>
      </c>
      <c r="EX8" s="4">
        <v>38</v>
      </c>
      <c r="EY8" s="4">
        <v>38</v>
      </c>
      <c r="EZ8" s="4">
        <v>38</v>
      </c>
      <c r="FA8" s="4">
        <v>38</v>
      </c>
      <c r="FB8" s="4">
        <v>38</v>
      </c>
      <c r="FC8" s="4">
        <v>38</v>
      </c>
      <c r="FD8" s="4">
        <v>38</v>
      </c>
      <c r="FE8" s="4">
        <v>38</v>
      </c>
      <c r="FF8" s="4">
        <v>38</v>
      </c>
      <c r="FG8" s="4">
        <v>38</v>
      </c>
      <c r="FH8" s="4">
        <v>38</v>
      </c>
      <c r="FI8" s="4">
        <v>38</v>
      </c>
      <c r="FJ8" s="4">
        <v>38</v>
      </c>
      <c r="FK8" s="4">
        <v>38</v>
      </c>
      <c r="FL8" s="4">
        <v>38</v>
      </c>
      <c r="FM8" s="4">
        <v>38</v>
      </c>
      <c r="FN8" s="4">
        <v>38</v>
      </c>
      <c r="FO8" s="4">
        <v>38</v>
      </c>
      <c r="FP8" s="4">
        <v>38</v>
      </c>
      <c r="FQ8" s="4">
        <v>38</v>
      </c>
      <c r="FR8" s="4">
        <v>38</v>
      </c>
      <c r="FS8" s="4">
        <v>38</v>
      </c>
      <c r="FT8" s="4">
        <v>38</v>
      </c>
      <c r="FU8" s="4">
        <v>38</v>
      </c>
      <c r="FV8" s="4">
        <v>38</v>
      </c>
      <c r="FW8" s="4">
        <v>38</v>
      </c>
      <c r="FX8" s="4">
        <v>38</v>
      </c>
      <c r="FY8" s="4">
        <v>38</v>
      </c>
      <c r="FZ8" s="4">
        <v>38</v>
      </c>
      <c r="GA8" s="4">
        <v>38</v>
      </c>
      <c r="GB8" s="4">
        <v>38</v>
      </c>
      <c r="GC8" s="4">
        <v>38</v>
      </c>
      <c r="GD8" s="4">
        <v>38</v>
      </c>
      <c r="GE8" s="4">
        <v>38</v>
      </c>
      <c r="GF8" s="4">
        <v>38</v>
      </c>
      <c r="GG8" s="4">
        <v>38</v>
      </c>
      <c r="GH8" s="4">
        <v>38</v>
      </c>
      <c r="GI8" s="4">
        <v>38</v>
      </c>
      <c r="GJ8" s="4">
        <v>38</v>
      </c>
      <c r="GK8" s="4">
        <v>38</v>
      </c>
      <c r="GL8" s="4">
        <v>38</v>
      </c>
      <c r="GM8" s="4">
        <v>38</v>
      </c>
      <c r="GN8" s="4">
        <v>38</v>
      </c>
      <c r="GO8" s="4">
        <v>38</v>
      </c>
      <c r="GP8" s="4">
        <v>38</v>
      </c>
      <c r="GQ8" s="4">
        <v>38</v>
      </c>
      <c r="GR8" s="4">
        <v>38</v>
      </c>
      <c r="GS8" s="4">
        <v>38</v>
      </c>
      <c r="GT8" s="4">
        <v>38</v>
      </c>
      <c r="GU8" s="4">
        <v>38</v>
      </c>
      <c r="GV8" s="4">
        <v>38</v>
      </c>
      <c r="GW8" s="4">
        <v>38</v>
      </c>
      <c r="GX8" s="4">
        <v>38</v>
      </c>
      <c r="GY8" s="4">
        <v>38</v>
      </c>
      <c r="GZ8" s="4">
        <v>37</v>
      </c>
      <c r="HA8" s="4">
        <v>37</v>
      </c>
      <c r="HB8" s="4">
        <v>37</v>
      </c>
      <c r="HC8" s="4">
        <v>36</v>
      </c>
      <c r="HD8" s="4">
        <v>36</v>
      </c>
      <c r="HE8" s="4">
        <v>36</v>
      </c>
      <c r="HF8" s="5">
        <v>35</v>
      </c>
      <c r="HG8" s="4">
        <v>34</v>
      </c>
      <c r="HH8" s="4">
        <v>32</v>
      </c>
      <c r="HI8" s="4">
        <v>32</v>
      </c>
      <c r="HJ8" s="2">
        <v>32</v>
      </c>
      <c r="HK8" s="2">
        <v>31</v>
      </c>
      <c r="HL8" s="2">
        <v>31</v>
      </c>
      <c r="HM8" s="2">
        <v>31</v>
      </c>
      <c r="HN8" s="2">
        <v>30</v>
      </c>
      <c r="HO8" s="2">
        <v>30</v>
      </c>
      <c r="HP8" s="2">
        <v>30</v>
      </c>
      <c r="HQ8" s="2">
        <v>28</v>
      </c>
      <c r="HR8" s="2">
        <v>28</v>
      </c>
      <c r="HS8" s="2">
        <v>27</v>
      </c>
      <c r="HT8" s="2">
        <v>22</v>
      </c>
      <c r="HU8" s="2">
        <v>14</v>
      </c>
      <c r="HV8" s="2">
        <v>14</v>
      </c>
      <c r="HW8" s="2">
        <v>11</v>
      </c>
      <c r="HX8" s="2">
        <v>10</v>
      </c>
      <c r="HY8" s="2">
        <v>7</v>
      </c>
      <c r="HZ8" s="2">
        <v>7</v>
      </c>
      <c r="IA8" s="2">
        <v>4</v>
      </c>
      <c r="IB8" s="2">
        <v>0</v>
      </c>
      <c r="IC8" s="2">
        <v>0</v>
      </c>
    </row>
    <row r="9" spans="1:237">
      <c r="A9" s="4" t="s">
        <v>10</v>
      </c>
      <c r="B9" s="4">
        <v>34</v>
      </c>
      <c r="C9" s="4">
        <v>34</v>
      </c>
      <c r="D9" s="4">
        <v>34</v>
      </c>
      <c r="E9" s="4">
        <v>34</v>
      </c>
      <c r="F9" s="4">
        <v>34</v>
      </c>
      <c r="G9" s="4">
        <v>34</v>
      </c>
      <c r="H9" s="4">
        <v>34</v>
      </c>
      <c r="I9" s="4">
        <v>34</v>
      </c>
      <c r="J9" s="4">
        <v>34</v>
      </c>
      <c r="K9" s="4">
        <v>34</v>
      </c>
      <c r="L9" s="4">
        <v>34</v>
      </c>
      <c r="M9" s="4">
        <v>34</v>
      </c>
      <c r="N9" s="4">
        <v>34</v>
      </c>
      <c r="O9" s="4">
        <v>34</v>
      </c>
      <c r="P9" s="4">
        <v>34</v>
      </c>
      <c r="Q9" s="4">
        <v>34</v>
      </c>
      <c r="R9" s="4">
        <v>34</v>
      </c>
      <c r="S9" s="4">
        <v>34</v>
      </c>
      <c r="T9" s="4">
        <v>34</v>
      </c>
      <c r="U9" s="4">
        <v>34</v>
      </c>
      <c r="V9" s="4">
        <v>34</v>
      </c>
      <c r="W9" s="4">
        <v>34</v>
      </c>
      <c r="X9" s="4">
        <v>34</v>
      </c>
      <c r="Y9" s="4">
        <v>34</v>
      </c>
      <c r="Z9" s="4">
        <v>34</v>
      </c>
      <c r="AA9" s="4">
        <v>34</v>
      </c>
      <c r="AB9" s="4">
        <v>34</v>
      </c>
      <c r="AC9" s="4">
        <v>34</v>
      </c>
      <c r="AD9" s="4">
        <v>34</v>
      </c>
      <c r="AE9" s="4">
        <v>34</v>
      </c>
      <c r="AF9" s="4">
        <v>34</v>
      </c>
      <c r="AG9" s="4">
        <v>34</v>
      </c>
      <c r="AH9" s="4">
        <v>34</v>
      </c>
      <c r="AI9" s="4">
        <v>34</v>
      </c>
      <c r="AJ9" s="4">
        <v>34</v>
      </c>
      <c r="AK9" s="4">
        <v>34</v>
      </c>
      <c r="AL9" s="4">
        <v>34</v>
      </c>
      <c r="AM9" s="4">
        <v>34</v>
      </c>
      <c r="AN9" s="4">
        <v>34</v>
      </c>
      <c r="AO9" s="4">
        <v>34</v>
      </c>
      <c r="AP9" s="4">
        <v>34</v>
      </c>
      <c r="AQ9" s="4">
        <v>34</v>
      </c>
      <c r="AR9" s="4">
        <v>34</v>
      </c>
      <c r="AS9" s="4">
        <v>34</v>
      </c>
      <c r="AT9" s="4">
        <v>34</v>
      </c>
      <c r="AU9" s="4">
        <v>34</v>
      </c>
      <c r="AV9" s="4">
        <v>34</v>
      </c>
      <c r="AW9" s="4">
        <v>34</v>
      </c>
      <c r="AX9" s="4">
        <v>34</v>
      </c>
      <c r="AY9" s="4">
        <v>34</v>
      </c>
      <c r="AZ9" s="4">
        <v>34</v>
      </c>
      <c r="BA9" s="4">
        <v>34</v>
      </c>
      <c r="BB9" s="4">
        <v>34</v>
      </c>
      <c r="BC9" s="4">
        <v>34</v>
      </c>
      <c r="BD9" s="4">
        <v>34</v>
      </c>
      <c r="BE9" s="4">
        <v>34</v>
      </c>
      <c r="BF9" s="4">
        <v>34</v>
      </c>
      <c r="BG9" s="4">
        <v>34</v>
      </c>
      <c r="BH9" s="4">
        <v>34</v>
      </c>
      <c r="BI9" s="4">
        <v>34</v>
      </c>
      <c r="BJ9" s="4">
        <v>34</v>
      </c>
      <c r="BK9" s="4">
        <v>34</v>
      </c>
      <c r="BL9" s="4">
        <v>34</v>
      </c>
      <c r="BM9" s="4">
        <v>34</v>
      </c>
      <c r="BN9" s="4">
        <v>34</v>
      </c>
      <c r="BO9" s="4">
        <v>34</v>
      </c>
      <c r="BP9" s="4">
        <v>34</v>
      </c>
      <c r="BQ9" s="4">
        <v>34</v>
      </c>
      <c r="BR9" s="4">
        <v>34</v>
      </c>
      <c r="BS9" s="4">
        <v>34</v>
      </c>
      <c r="BT9" s="4">
        <v>34</v>
      </c>
      <c r="BU9" s="4">
        <v>34</v>
      </c>
      <c r="BV9" s="4">
        <v>34</v>
      </c>
      <c r="BW9" s="4">
        <v>34</v>
      </c>
      <c r="BX9" s="4">
        <v>34</v>
      </c>
      <c r="BY9" s="4">
        <v>34</v>
      </c>
      <c r="BZ9" s="4">
        <v>34</v>
      </c>
      <c r="CA9" s="4">
        <v>34</v>
      </c>
      <c r="CB9" s="4">
        <v>34</v>
      </c>
      <c r="CC9" s="4">
        <v>34</v>
      </c>
      <c r="CD9" s="4">
        <v>34</v>
      </c>
      <c r="CE9" s="4">
        <v>34</v>
      </c>
      <c r="CF9" s="4">
        <v>34</v>
      </c>
      <c r="CG9" s="4">
        <v>34</v>
      </c>
      <c r="CH9" s="4">
        <v>34</v>
      </c>
      <c r="CI9" s="4">
        <v>34</v>
      </c>
      <c r="CJ9" s="4">
        <v>34</v>
      </c>
      <c r="CK9" s="4">
        <v>34</v>
      </c>
      <c r="CL9" s="4">
        <v>34</v>
      </c>
      <c r="CM9" s="4">
        <v>34</v>
      </c>
      <c r="CN9" s="4">
        <v>34</v>
      </c>
      <c r="CO9" s="4">
        <v>34</v>
      </c>
      <c r="CP9" s="4">
        <v>34</v>
      </c>
      <c r="CQ9" s="4">
        <v>34</v>
      </c>
      <c r="CR9" s="4">
        <v>34</v>
      </c>
      <c r="CS9" s="4">
        <v>34</v>
      </c>
      <c r="CT9" s="4">
        <v>34</v>
      </c>
      <c r="CU9" s="4">
        <v>34</v>
      </c>
      <c r="CV9" s="4">
        <v>34</v>
      </c>
      <c r="CW9" s="4">
        <v>34</v>
      </c>
      <c r="CX9" s="4">
        <v>34</v>
      </c>
      <c r="CY9" s="4">
        <v>34</v>
      </c>
      <c r="CZ9" s="4">
        <v>34</v>
      </c>
      <c r="DA9" s="4">
        <v>34</v>
      </c>
      <c r="DB9" s="4">
        <v>34</v>
      </c>
      <c r="DC9" s="4">
        <v>34</v>
      </c>
      <c r="DD9" s="4">
        <v>34</v>
      </c>
      <c r="DE9" s="4">
        <v>34</v>
      </c>
      <c r="DF9" s="4">
        <v>34</v>
      </c>
      <c r="DG9" s="4">
        <v>34</v>
      </c>
      <c r="DH9" s="4">
        <v>34</v>
      </c>
      <c r="DI9" s="4">
        <v>34</v>
      </c>
      <c r="DJ9" s="4">
        <v>34</v>
      </c>
      <c r="DK9" s="4">
        <v>34</v>
      </c>
      <c r="DL9" s="4">
        <v>34</v>
      </c>
      <c r="DM9" s="4">
        <v>34</v>
      </c>
      <c r="DN9" s="4">
        <v>34</v>
      </c>
      <c r="DO9" s="4">
        <v>34</v>
      </c>
      <c r="DP9" s="4">
        <v>34</v>
      </c>
      <c r="DQ9" s="4">
        <v>34</v>
      </c>
      <c r="DR9" s="4">
        <v>34</v>
      </c>
      <c r="DS9" s="4">
        <v>34</v>
      </c>
      <c r="DT9" s="4">
        <v>34</v>
      </c>
      <c r="DU9" s="4">
        <v>34</v>
      </c>
      <c r="DV9" s="4">
        <v>34</v>
      </c>
      <c r="DW9" s="4">
        <v>34</v>
      </c>
      <c r="DX9" s="4">
        <v>34</v>
      </c>
      <c r="DY9" s="4">
        <v>34</v>
      </c>
      <c r="DZ9" s="4">
        <v>34</v>
      </c>
      <c r="EA9" s="4">
        <v>34</v>
      </c>
      <c r="EB9" s="4">
        <v>34</v>
      </c>
      <c r="EC9" s="4">
        <v>34</v>
      </c>
      <c r="ED9" s="4">
        <v>34</v>
      </c>
      <c r="EE9" s="4">
        <v>34</v>
      </c>
      <c r="EF9" s="4">
        <v>34</v>
      </c>
      <c r="EG9" s="4">
        <v>34</v>
      </c>
      <c r="EH9" s="4">
        <v>34</v>
      </c>
      <c r="EI9" s="4">
        <v>34</v>
      </c>
      <c r="EJ9" s="4">
        <v>34</v>
      </c>
      <c r="EK9" s="4">
        <v>34</v>
      </c>
      <c r="EL9" s="4">
        <v>34</v>
      </c>
      <c r="EM9" s="4">
        <v>34</v>
      </c>
      <c r="EN9" s="4">
        <v>34</v>
      </c>
      <c r="EO9" s="4">
        <v>34</v>
      </c>
      <c r="EP9" s="4">
        <v>34</v>
      </c>
      <c r="EQ9" s="4">
        <v>34</v>
      </c>
      <c r="ER9" s="4">
        <v>34</v>
      </c>
      <c r="ES9" s="4">
        <v>34</v>
      </c>
      <c r="ET9" s="4">
        <v>34</v>
      </c>
      <c r="EU9" s="4">
        <v>34</v>
      </c>
      <c r="EV9" s="4">
        <v>34</v>
      </c>
      <c r="EW9" s="4">
        <v>34</v>
      </c>
      <c r="EX9" s="4">
        <v>34</v>
      </c>
      <c r="EY9" s="4">
        <v>34</v>
      </c>
      <c r="EZ9" s="4">
        <v>34</v>
      </c>
      <c r="FA9" s="4">
        <v>34</v>
      </c>
      <c r="FB9" s="4">
        <v>34</v>
      </c>
      <c r="FC9" s="4">
        <v>34</v>
      </c>
      <c r="FD9" s="4">
        <v>34</v>
      </c>
      <c r="FE9" s="4">
        <v>34</v>
      </c>
      <c r="FF9" s="4">
        <v>34</v>
      </c>
      <c r="FG9" s="4">
        <v>34</v>
      </c>
      <c r="FH9" s="4">
        <v>34</v>
      </c>
      <c r="FI9" s="4">
        <v>34</v>
      </c>
      <c r="FJ9" s="4">
        <v>34</v>
      </c>
      <c r="FK9" s="4">
        <v>34</v>
      </c>
      <c r="FL9" s="4">
        <v>34</v>
      </c>
      <c r="FM9" s="4">
        <v>34</v>
      </c>
      <c r="FN9" s="4">
        <v>34</v>
      </c>
      <c r="FO9" s="4">
        <v>34</v>
      </c>
      <c r="FP9" s="4">
        <v>34</v>
      </c>
      <c r="FQ9" s="4">
        <v>34</v>
      </c>
      <c r="FR9" s="4">
        <v>34</v>
      </c>
      <c r="FS9" s="4">
        <v>34</v>
      </c>
      <c r="FT9" s="4">
        <v>34</v>
      </c>
      <c r="FU9" s="4">
        <v>34</v>
      </c>
      <c r="FV9" s="4">
        <v>34</v>
      </c>
      <c r="FW9" s="4">
        <v>34</v>
      </c>
      <c r="FX9" s="4">
        <v>34</v>
      </c>
      <c r="FY9" s="4">
        <v>34</v>
      </c>
      <c r="FZ9" s="4">
        <v>34</v>
      </c>
      <c r="GA9" s="4">
        <v>34</v>
      </c>
      <c r="GB9" s="4">
        <v>34</v>
      </c>
      <c r="GC9" s="4">
        <v>34</v>
      </c>
      <c r="GD9" s="4">
        <v>34</v>
      </c>
      <c r="GE9" s="4">
        <v>34</v>
      </c>
      <c r="GF9" s="4">
        <v>34</v>
      </c>
      <c r="GG9" s="4">
        <v>34</v>
      </c>
      <c r="GH9" s="4">
        <v>34</v>
      </c>
      <c r="GI9" s="4">
        <v>34</v>
      </c>
      <c r="GJ9" s="4">
        <v>34</v>
      </c>
      <c r="GK9" s="4">
        <v>34</v>
      </c>
      <c r="GL9" s="4">
        <v>34</v>
      </c>
      <c r="GM9" s="4">
        <v>34</v>
      </c>
      <c r="GN9" s="4">
        <v>34</v>
      </c>
      <c r="GO9" s="4">
        <v>34</v>
      </c>
      <c r="GP9" s="4">
        <v>34</v>
      </c>
      <c r="GQ9" s="4">
        <v>34</v>
      </c>
      <c r="GR9" s="4">
        <v>34</v>
      </c>
      <c r="GS9" s="4">
        <v>34</v>
      </c>
      <c r="GT9" s="4">
        <v>33</v>
      </c>
      <c r="GU9" s="4">
        <v>33</v>
      </c>
      <c r="GV9" s="4">
        <v>33</v>
      </c>
      <c r="GW9" s="4">
        <v>33</v>
      </c>
      <c r="GX9" s="4">
        <v>33</v>
      </c>
      <c r="GY9" s="4">
        <v>33</v>
      </c>
      <c r="GZ9" s="4">
        <v>33</v>
      </c>
      <c r="HA9" s="4">
        <v>33</v>
      </c>
      <c r="HB9" s="4">
        <v>33</v>
      </c>
      <c r="HC9" s="4">
        <v>33</v>
      </c>
      <c r="HD9" s="4">
        <v>31</v>
      </c>
      <c r="HE9" s="4">
        <v>31</v>
      </c>
      <c r="HF9" s="5">
        <v>31</v>
      </c>
      <c r="HG9" s="4">
        <v>31</v>
      </c>
      <c r="HH9" s="4">
        <v>31</v>
      </c>
      <c r="HI9" s="4">
        <v>31</v>
      </c>
      <c r="HJ9" s="4">
        <v>31</v>
      </c>
      <c r="HK9" s="2">
        <v>30</v>
      </c>
      <c r="HL9" s="2">
        <v>29</v>
      </c>
      <c r="HM9" s="2">
        <v>29</v>
      </c>
      <c r="HN9" s="4">
        <v>27</v>
      </c>
      <c r="HO9" s="2">
        <v>26</v>
      </c>
      <c r="HP9" s="2">
        <v>23</v>
      </c>
      <c r="HQ9" s="2">
        <v>21</v>
      </c>
      <c r="HR9" s="2">
        <v>16</v>
      </c>
      <c r="HS9" s="2">
        <v>16</v>
      </c>
      <c r="HT9" s="2">
        <v>15</v>
      </c>
      <c r="HU9" s="2">
        <v>14</v>
      </c>
      <c r="HV9" s="2">
        <v>14</v>
      </c>
      <c r="HW9" s="2">
        <v>11</v>
      </c>
      <c r="HX9" s="2">
        <v>9</v>
      </c>
      <c r="HY9" s="2">
        <v>6</v>
      </c>
      <c r="HZ9" s="2">
        <v>3</v>
      </c>
      <c r="IA9" s="2">
        <v>1</v>
      </c>
      <c r="IB9" s="2">
        <v>0</v>
      </c>
      <c r="IC9" s="2">
        <v>0</v>
      </c>
    </row>
    <row r="10" spans="1:237">
      <c r="A10" s="2" t="s">
        <v>3</v>
      </c>
      <c r="B10" s="2">
        <v>41</v>
      </c>
      <c r="C10" s="2">
        <v>41</v>
      </c>
      <c r="D10" s="2">
        <v>41</v>
      </c>
      <c r="E10" s="2">
        <v>41</v>
      </c>
      <c r="F10" s="2">
        <v>41</v>
      </c>
      <c r="G10" s="2">
        <v>41</v>
      </c>
      <c r="H10" s="2">
        <v>41</v>
      </c>
      <c r="I10" s="2">
        <v>41</v>
      </c>
      <c r="J10" s="2">
        <v>41</v>
      </c>
      <c r="K10" s="2">
        <v>41</v>
      </c>
      <c r="L10" s="2">
        <v>41</v>
      </c>
      <c r="M10" s="2">
        <v>41</v>
      </c>
      <c r="N10" s="2">
        <v>41</v>
      </c>
      <c r="O10" s="2">
        <v>41</v>
      </c>
      <c r="P10" s="2">
        <v>41</v>
      </c>
      <c r="Q10" s="2">
        <v>41</v>
      </c>
      <c r="R10" s="2">
        <v>41</v>
      </c>
      <c r="S10" s="2">
        <v>41</v>
      </c>
      <c r="T10" s="2">
        <v>41</v>
      </c>
      <c r="U10" s="2">
        <v>41</v>
      </c>
      <c r="V10" s="2">
        <v>41</v>
      </c>
      <c r="W10" s="2">
        <v>41</v>
      </c>
      <c r="X10" s="2">
        <v>41</v>
      </c>
      <c r="Y10" s="2">
        <v>41</v>
      </c>
      <c r="Z10" s="2">
        <v>41</v>
      </c>
      <c r="AA10" s="2">
        <v>41</v>
      </c>
      <c r="AB10" s="2">
        <v>41</v>
      </c>
      <c r="AC10" s="2">
        <v>41</v>
      </c>
      <c r="AD10" s="2">
        <v>41</v>
      </c>
      <c r="AE10" s="2">
        <v>41</v>
      </c>
      <c r="AF10" s="2">
        <v>41</v>
      </c>
      <c r="AG10" s="2">
        <v>41</v>
      </c>
      <c r="AH10" s="2">
        <v>41</v>
      </c>
      <c r="AI10" s="2">
        <v>41</v>
      </c>
      <c r="AJ10" s="2">
        <v>41</v>
      </c>
      <c r="AK10" s="2">
        <v>41</v>
      </c>
      <c r="AL10" s="2">
        <v>41</v>
      </c>
      <c r="AM10" s="2">
        <v>41</v>
      </c>
      <c r="AN10" s="2">
        <v>41</v>
      </c>
      <c r="AO10" s="2">
        <v>41</v>
      </c>
      <c r="AP10" s="2">
        <v>41</v>
      </c>
      <c r="AQ10" s="2">
        <v>41</v>
      </c>
      <c r="AR10" s="2">
        <v>41</v>
      </c>
      <c r="AS10" s="2">
        <v>41</v>
      </c>
      <c r="AT10" s="2">
        <v>41</v>
      </c>
      <c r="AU10" s="2">
        <v>41</v>
      </c>
      <c r="AV10" s="2">
        <v>41</v>
      </c>
      <c r="AW10" s="2">
        <v>41</v>
      </c>
      <c r="AX10" s="2">
        <v>41</v>
      </c>
      <c r="AY10" s="2">
        <v>41</v>
      </c>
      <c r="AZ10" s="2">
        <v>41</v>
      </c>
      <c r="BA10" s="2">
        <v>41</v>
      </c>
      <c r="BB10" s="2">
        <v>41</v>
      </c>
      <c r="BC10" s="2">
        <v>41</v>
      </c>
      <c r="BD10" s="2">
        <v>41</v>
      </c>
      <c r="BE10" s="2">
        <v>41</v>
      </c>
      <c r="BF10" s="2">
        <v>41</v>
      </c>
      <c r="BG10" s="2">
        <v>41</v>
      </c>
      <c r="BH10" s="2">
        <v>41</v>
      </c>
      <c r="BI10" s="2">
        <v>41</v>
      </c>
      <c r="BJ10" s="2">
        <v>41</v>
      </c>
      <c r="BK10" s="2">
        <v>41</v>
      </c>
      <c r="BL10" s="2">
        <v>41</v>
      </c>
      <c r="BM10" s="2">
        <v>41</v>
      </c>
      <c r="BN10" s="2">
        <v>41</v>
      </c>
      <c r="BO10" s="2">
        <v>41</v>
      </c>
      <c r="BP10" s="2">
        <v>41</v>
      </c>
      <c r="BQ10" s="2">
        <v>41</v>
      </c>
      <c r="BR10" s="2">
        <v>41</v>
      </c>
      <c r="BS10" s="2">
        <v>41</v>
      </c>
      <c r="BT10" s="2">
        <v>41</v>
      </c>
      <c r="BU10" s="2">
        <v>41</v>
      </c>
      <c r="BV10" s="2">
        <v>41</v>
      </c>
      <c r="BW10" s="2">
        <v>41</v>
      </c>
      <c r="BX10" s="2">
        <v>41</v>
      </c>
      <c r="BY10" s="2">
        <v>41</v>
      </c>
      <c r="BZ10" s="2">
        <v>41</v>
      </c>
      <c r="CA10" s="2">
        <v>41</v>
      </c>
      <c r="CB10" s="2">
        <v>41</v>
      </c>
      <c r="CC10" s="2">
        <v>41</v>
      </c>
      <c r="CD10" s="2">
        <v>41</v>
      </c>
      <c r="CE10" s="2">
        <v>41</v>
      </c>
      <c r="CF10" s="2">
        <v>41</v>
      </c>
      <c r="CG10" s="2">
        <v>41</v>
      </c>
      <c r="CH10" s="2">
        <v>41</v>
      </c>
      <c r="CI10" s="2">
        <v>41</v>
      </c>
      <c r="CJ10" s="2">
        <v>41</v>
      </c>
      <c r="CK10" s="2">
        <v>41</v>
      </c>
      <c r="CL10" s="2">
        <v>41</v>
      </c>
      <c r="CM10" s="2">
        <v>41</v>
      </c>
      <c r="CN10" s="2">
        <v>41</v>
      </c>
      <c r="CO10" s="2">
        <v>41</v>
      </c>
      <c r="CP10" s="2">
        <v>41</v>
      </c>
      <c r="CQ10" s="2">
        <v>41</v>
      </c>
      <c r="CR10" s="2">
        <v>41</v>
      </c>
      <c r="CS10" s="2">
        <v>41</v>
      </c>
      <c r="CT10" s="2">
        <v>41</v>
      </c>
      <c r="CU10" s="2">
        <v>41</v>
      </c>
      <c r="CV10" s="2">
        <v>41</v>
      </c>
      <c r="CW10" s="2">
        <v>41</v>
      </c>
      <c r="CX10" s="2">
        <v>41</v>
      </c>
      <c r="CY10" s="2">
        <v>41</v>
      </c>
      <c r="CZ10" s="2">
        <v>41</v>
      </c>
      <c r="DA10" s="2">
        <v>41</v>
      </c>
      <c r="DB10" s="2">
        <v>41</v>
      </c>
      <c r="DC10" s="2">
        <v>41</v>
      </c>
      <c r="DD10" s="2">
        <v>41</v>
      </c>
      <c r="DE10" s="2">
        <v>41</v>
      </c>
      <c r="DF10" s="2">
        <v>41</v>
      </c>
      <c r="DG10" s="2">
        <v>41</v>
      </c>
      <c r="DH10" s="2">
        <v>41</v>
      </c>
      <c r="DI10" s="2">
        <v>41</v>
      </c>
      <c r="DJ10" s="2">
        <v>41</v>
      </c>
      <c r="DK10" s="2">
        <v>41</v>
      </c>
      <c r="DL10" s="2">
        <v>41</v>
      </c>
      <c r="DM10" s="2">
        <v>41</v>
      </c>
      <c r="DN10" s="2">
        <v>41</v>
      </c>
      <c r="DO10" s="2">
        <v>41</v>
      </c>
      <c r="DP10" s="2">
        <v>41</v>
      </c>
      <c r="DQ10" s="2">
        <v>41</v>
      </c>
      <c r="DR10" s="2">
        <v>41</v>
      </c>
      <c r="DS10" s="2">
        <v>41</v>
      </c>
      <c r="DT10" s="2">
        <v>41</v>
      </c>
      <c r="DU10" s="2">
        <v>41</v>
      </c>
      <c r="DV10" s="2">
        <v>41</v>
      </c>
      <c r="DW10" s="2">
        <v>41</v>
      </c>
      <c r="DX10" s="2">
        <v>41</v>
      </c>
      <c r="DY10" s="2">
        <v>41</v>
      </c>
      <c r="DZ10" s="2">
        <v>41</v>
      </c>
      <c r="EA10" s="2">
        <v>41</v>
      </c>
      <c r="EB10" s="2">
        <v>41</v>
      </c>
      <c r="EC10" s="2">
        <v>41</v>
      </c>
      <c r="ED10" s="2">
        <v>41</v>
      </c>
      <c r="EE10" s="2">
        <v>41</v>
      </c>
      <c r="EF10" s="2">
        <v>41</v>
      </c>
      <c r="EG10" s="2">
        <v>41</v>
      </c>
      <c r="EH10" s="2">
        <v>41</v>
      </c>
      <c r="EI10" s="2">
        <v>41</v>
      </c>
      <c r="EJ10" s="2">
        <v>41</v>
      </c>
      <c r="EK10" s="2">
        <v>41</v>
      </c>
      <c r="EL10" s="2">
        <v>41</v>
      </c>
      <c r="EM10" s="2">
        <v>41</v>
      </c>
      <c r="EN10" s="2">
        <v>41</v>
      </c>
      <c r="EO10" s="2">
        <v>41</v>
      </c>
      <c r="EP10" s="2">
        <v>41</v>
      </c>
      <c r="EQ10" s="2">
        <v>41</v>
      </c>
      <c r="ER10" s="2">
        <v>41</v>
      </c>
      <c r="ES10" s="2">
        <v>41</v>
      </c>
      <c r="ET10" s="2">
        <v>41</v>
      </c>
      <c r="EU10" s="2">
        <v>41</v>
      </c>
      <c r="EV10" s="2">
        <v>41</v>
      </c>
      <c r="EW10" s="2">
        <v>41</v>
      </c>
      <c r="EX10" s="2">
        <v>41</v>
      </c>
      <c r="EY10" s="2">
        <v>41</v>
      </c>
      <c r="EZ10" s="2">
        <v>41</v>
      </c>
      <c r="FA10" s="2">
        <v>41</v>
      </c>
      <c r="FB10" s="2">
        <v>41</v>
      </c>
      <c r="FC10" s="2">
        <v>41</v>
      </c>
      <c r="FD10" s="2">
        <v>41</v>
      </c>
      <c r="FE10" s="2">
        <v>41</v>
      </c>
      <c r="FF10" s="2">
        <v>41</v>
      </c>
      <c r="FG10" s="2">
        <v>41</v>
      </c>
      <c r="FH10" s="2">
        <v>41</v>
      </c>
      <c r="FI10" s="2">
        <v>41</v>
      </c>
      <c r="FJ10" s="2">
        <v>41</v>
      </c>
      <c r="FK10" s="2">
        <v>41</v>
      </c>
      <c r="FL10" s="2">
        <v>41</v>
      </c>
      <c r="FM10" s="2">
        <v>41</v>
      </c>
      <c r="FN10" s="2">
        <v>41</v>
      </c>
      <c r="FO10" s="2">
        <v>41</v>
      </c>
      <c r="FP10" s="2">
        <v>41</v>
      </c>
      <c r="FQ10" s="2">
        <v>41</v>
      </c>
      <c r="FR10" s="2">
        <v>41</v>
      </c>
      <c r="FS10" s="2">
        <v>41</v>
      </c>
      <c r="FT10" s="2">
        <v>41</v>
      </c>
      <c r="FU10" s="2">
        <v>41</v>
      </c>
      <c r="FV10" s="2">
        <v>41</v>
      </c>
      <c r="FW10" s="2">
        <v>41</v>
      </c>
      <c r="FX10" s="2">
        <v>41</v>
      </c>
      <c r="FY10" s="2">
        <v>41</v>
      </c>
      <c r="FZ10" s="2">
        <v>41</v>
      </c>
      <c r="GA10" s="2">
        <v>41</v>
      </c>
      <c r="GB10" s="2">
        <v>41</v>
      </c>
      <c r="GC10" s="2">
        <v>41</v>
      </c>
      <c r="GD10" s="2">
        <v>41</v>
      </c>
      <c r="GE10" s="2">
        <v>41</v>
      </c>
      <c r="GF10" s="2">
        <v>41</v>
      </c>
      <c r="GG10" s="2">
        <v>41</v>
      </c>
      <c r="GH10" s="2">
        <v>41</v>
      </c>
      <c r="GI10" s="2">
        <v>41</v>
      </c>
      <c r="GJ10" s="2">
        <v>41</v>
      </c>
      <c r="GK10" s="2">
        <v>41</v>
      </c>
      <c r="GL10" s="2">
        <v>41</v>
      </c>
      <c r="GM10" s="2">
        <v>41</v>
      </c>
      <c r="GN10" s="2">
        <v>41</v>
      </c>
      <c r="GO10" s="2">
        <v>41</v>
      </c>
      <c r="GP10" s="2">
        <v>41</v>
      </c>
      <c r="GQ10" s="2">
        <v>41</v>
      </c>
      <c r="GR10" s="2">
        <v>41</v>
      </c>
      <c r="GS10" s="2">
        <v>41</v>
      </c>
      <c r="GT10" s="2">
        <v>41</v>
      </c>
      <c r="GU10" s="2">
        <v>41</v>
      </c>
      <c r="GV10" s="2">
        <v>41</v>
      </c>
      <c r="GW10" s="2">
        <v>41</v>
      </c>
      <c r="GX10" s="2">
        <v>41</v>
      </c>
      <c r="GY10" s="2">
        <v>41</v>
      </c>
      <c r="GZ10" s="2">
        <v>41</v>
      </c>
      <c r="HA10" s="2">
        <v>41</v>
      </c>
      <c r="HB10" s="2">
        <v>41</v>
      </c>
      <c r="HC10" s="2">
        <v>41</v>
      </c>
      <c r="HD10" s="2">
        <v>40</v>
      </c>
      <c r="HE10" s="2">
        <v>39</v>
      </c>
      <c r="HF10" s="3">
        <v>39</v>
      </c>
      <c r="HG10" s="2">
        <v>39</v>
      </c>
      <c r="HH10" s="2">
        <v>38</v>
      </c>
      <c r="HI10" s="2">
        <v>36</v>
      </c>
      <c r="HJ10" s="2">
        <v>33</v>
      </c>
      <c r="HK10" s="2">
        <v>31</v>
      </c>
      <c r="HL10" s="2">
        <v>28</v>
      </c>
      <c r="HM10" s="2">
        <v>28</v>
      </c>
      <c r="HN10" s="2">
        <v>27</v>
      </c>
      <c r="HO10" s="2">
        <v>25</v>
      </c>
      <c r="HP10" s="2">
        <v>24</v>
      </c>
      <c r="HQ10" s="2">
        <v>23</v>
      </c>
      <c r="HR10" s="2">
        <v>21</v>
      </c>
      <c r="HS10" s="4">
        <v>14</v>
      </c>
      <c r="HT10" s="2">
        <v>12</v>
      </c>
      <c r="HU10" s="2">
        <v>10</v>
      </c>
      <c r="HV10" s="2">
        <v>10</v>
      </c>
      <c r="HW10" s="2">
        <v>9</v>
      </c>
      <c r="HX10" s="2">
        <v>3</v>
      </c>
      <c r="HY10" s="2">
        <v>3</v>
      </c>
      <c r="HZ10" s="2">
        <v>2</v>
      </c>
      <c r="IA10" s="2">
        <v>0</v>
      </c>
      <c r="IB10" s="2">
        <v>0</v>
      </c>
      <c r="IC10" s="2">
        <v>0</v>
      </c>
    </row>
    <row r="11" spans="1:237">
      <c r="A11" s="4" t="s">
        <v>12</v>
      </c>
      <c r="B11" s="4">
        <v>29</v>
      </c>
      <c r="C11" s="4">
        <v>29</v>
      </c>
      <c r="D11" s="4">
        <v>29</v>
      </c>
      <c r="E11" s="4">
        <v>29</v>
      </c>
      <c r="F11" s="4">
        <v>29</v>
      </c>
      <c r="G11" s="4">
        <v>29</v>
      </c>
      <c r="H11" s="4">
        <v>29</v>
      </c>
      <c r="I11" s="4">
        <v>29</v>
      </c>
      <c r="J11" s="4">
        <v>29</v>
      </c>
      <c r="K11" s="4">
        <v>29</v>
      </c>
      <c r="L11" s="4">
        <v>29</v>
      </c>
      <c r="M11" s="4">
        <v>29</v>
      </c>
      <c r="N11" s="4">
        <v>29</v>
      </c>
      <c r="O11" s="4">
        <v>29</v>
      </c>
      <c r="P11" s="4">
        <v>29</v>
      </c>
      <c r="Q11" s="4">
        <v>29</v>
      </c>
      <c r="R11" s="4">
        <v>29</v>
      </c>
      <c r="S11" s="4">
        <v>29</v>
      </c>
      <c r="T11" s="4">
        <v>29</v>
      </c>
      <c r="U11" s="4">
        <v>29</v>
      </c>
      <c r="V11" s="4">
        <v>29</v>
      </c>
      <c r="W11" s="4">
        <v>29</v>
      </c>
      <c r="X11" s="4">
        <v>29</v>
      </c>
      <c r="Y11" s="4">
        <v>29</v>
      </c>
      <c r="Z11" s="4">
        <v>29</v>
      </c>
      <c r="AA11" s="4">
        <v>29</v>
      </c>
      <c r="AB11" s="4">
        <v>29</v>
      </c>
      <c r="AC11" s="4">
        <v>29</v>
      </c>
      <c r="AD11" s="4">
        <v>29</v>
      </c>
      <c r="AE11" s="4">
        <v>29</v>
      </c>
      <c r="AF11" s="4">
        <v>29</v>
      </c>
      <c r="AG11" s="4">
        <v>29</v>
      </c>
      <c r="AH11" s="4">
        <v>29</v>
      </c>
      <c r="AI11" s="4">
        <v>29</v>
      </c>
      <c r="AJ11" s="4">
        <v>29</v>
      </c>
      <c r="AK11" s="4">
        <v>29</v>
      </c>
      <c r="AL11" s="4">
        <v>29</v>
      </c>
      <c r="AM11" s="4">
        <v>29</v>
      </c>
      <c r="AN11" s="4">
        <v>29</v>
      </c>
      <c r="AO11" s="4">
        <v>29</v>
      </c>
      <c r="AP11" s="4">
        <v>29</v>
      </c>
      <c r="AQ11" s="4">
        <v>29</v>
      </c>
      <c r="AR11" s="4">
        <v>29</v>
      </c>
      <c r="AS11" s="4">
        <v>29</v>
      </c>
      <c r="AT11" s="4">
        <v>29</v>
      </c>
      <c r="AU11" s="4">
        <v>29</v>
      </c>
      <c r="AV11" s="4">
        <v>29</v>
      </c>
      <c r="AW11" s="4">
        <v>29</v>
      </c>
      <c r="AX11" s="4">
        <v>29</v>
      </c>
      <c r="AY11" s="4">
        <v>29</v>
      </c>
      <c r="AZ11" s="4">
        <v>29</v>
      </c>
      <c r="BA11" s="4">
        <v>29</v>
      </c>
      <c r="BB11" s="4">
        <v>29</v>
      </c>
      <c r="BC11" s="4">
        <v>29</v>
      </c>
      <c r="BD11" s="4">
        <v>29</v>
      </c>
      <c r="BE11" s="4">
        <v>29</v>
      </c>
      <c r="BF11" s="4">
        <v>29</v>
      </c>
      <c r="BG11" s="4">
        <v>29</v>
      </c>
      <c r="BH11" s="4">
        <v>29</v>
      </c>
      <c r="BI11" s="4">
        <v>29</v>
      </c>
      <c r="BJ11" s="4">
        <v>29</v>
      </c>
      <c r="BK11" s="4">
        <v>29</v>
      </c>
      <c r="BL11" s="4">
        <v>29</v>
      </c>
      <c r="BM11" s="4">
        <v>29</v>
      </c>
      <c r="BN11" s="4">
        <v>29</v>
      </c>
      <c r="BO11" s="4">
        <v>29</v>
      </c>
      <c r="BP11" s="4">
        <v>29</v>
      </c>
      <c r="BQ11" s="4">
        <v>29</v>
      </c>
      <c r="BR11" s="4">
        <v>29</v>
      </c>
      <c r="BS11" s="4">
        <v>29</v>
      </c>
      <c r="BT11" s="4">
        <v>29</v>
      </c>
      <c r="BU11" s="4">
        <v>29</v>
      </c>
      <c r="BV11" s="4">
        <v>29</v>
      </c>
      <c r="BW11" s="4">
        <v>29</v>
      </c>
      <c r="BX11" s="4">
        <v>29</v>
      </c>
      <c r="BY11" s="4">
        <v>29</v>
      </c>
      <c r="BZ11" s="4">
        <v>29</v>
      </c>
      <c r="CA11" s="4">
        <v>29</v>
      </c>
      <c r="CB11" s="4">
        <v>29</v>
      </c>
      <c r="CC11" s="4">
        <v>29</v>
      </c>
      <c r="CD11" s="4">
        <v>29</v>
      </c>
      <c r="CE11" s="4">
        <v>29</v>
      </c>
      <c r="CF11" s="4">
        <v>29</v>
      </c>
      <c r="CG11" s="4">
        <v>29</v>
      </c>
      <c r="CH11" s="4">
        <v>29</v>
      </c>
      <c r="CI11" s="4">
        <v>29</v>
      </c>
      <c r="CJ11" s="4">
        <v>29</v>
      </c>
      <c r="CK11" s="4">
        <v>29</v>
      </c>
      <c r="CL11" s="4">
        <v>29</v>
      </c>
      <c r="CM11" s="4">
        <v>29</v>
      </c>
      <c r="CN11" s="4">
        <v>29</v>
      </c>
      <c r="CO11" s="4">
        <v>29</v>
      </c>
      <c r="CP11" s="4">
        <v>29</v>
      </c>
      <c r="CQ11" s="4">
        <v>29</v>
      </c>
      <c r="CR11" s="4">
        <v>29</v>
      </c>
      <c r="CS11" s="4">
        <v>29</v>
      </c>
      <c r="CT11" s="4">
        <v>29</v>
      </c>
      <c r="CU11" s="4">
        <v>29</v>
      </c>
      <c r="CV11" s="4">
        <v>29</v>
      </c>
      <c r="CW11" s="4">
        <v>29</v>
      </c>
      <c r="CX11" s="4">
        <v>29</v>
      </c>
      <c r="CY11" s="4">
        <v>29</v>
      </c>
      <c r="CZ11" s="4">
        <v>29</v>
      </c>
      <c r="DA11" s="4">
        <v>29</v>
      </c>
      <c r="DB11" s="4">
        <v>29</v>
      </c>
      <c r="DC11" s="4">
        <v>29</v>
      </c>
      <c r="DD11" s="4">
        <v>29</v>
      </c>
      <c r="DE11" s="4">
        <v>29</v>
      </c>
      <c r="DF11" s="4">
        <v>29</v>
      </c>
      <c r="DG11" s="4">
        <v>29</v>
      </c>
      <c r="DH11" s="4">
        <v>29</v>
      </c>
      <c r="DI11" s="4">
        <v>29</v>
      </c>
      <c r="DJ11" s="4">
        <v>29</v>
      </c>
      <c r="DK11" s="4">
        <v>29</v>
      </c>
      <c r="DL11" s="4">
        <v>29</v>
      </c>
      <c r="DM11" s="4">
        <v>29</v>
      </c>
      <c r="DN11" s="4">
        <v>29</v>
      </c>
      <c r="DO11" s="4">
        <v>29</v>
      </c>
      <c r="DP11" s="4">
        <v>29</v>
      </c>
      <c r="DQ11" s="4">
        <v>29</v>
      </c>
      <c r="DR11" s="4">
        <v>29</v>
      </c>
      <c r="DS11" s="4">
        <v>29</v>
      </c>
      <c r="DT11" s="4">
        <v>29</v>
      </c>
      <c r="DU11" s="4">
        <v>29</v>
      </c>
      <c r="DV11" s="4">
        <v>29</v>
      </c>
      <c r="DW11" s="4">
        <v>29</v>
      </c>
      <c r="DX11" s="4">
        <v>29</v>
      </c>
      <c r="DY11" s="4">
        <v>29</v>
      </c>
      <c r="DZ11" s="4">
        <v>29</v>
      </c>
      <c r="EA11" s="4">
        <v>29</v>
      </c>
      <c r="EB11" s="4">
        <v>29</v>
      </c>
      <c r="EC11" s="4">
        <v>29</v>
      </c>
      <c r="ED11" s="4">
        <v>29</v>
      </c>
      <c r="EE11" s="4">
        <v>29</v>
      </c>
      <c r="EF11" s="4">
        <v>29</v>
      </c>
      <c r="EG11" s="4">
        <v>29</v>
      </c>
      <c r="EH11" s="4">
        <v>29</v>
      </c>
      <c r="EI11" s="4">
        <v>29</v>
      </c>
      <c r="EJ11" s="4">
        <v>29</v>
      </c>
      <c r="EK11" s="4">
        <v>29</v>
      </c>
      <c r="EL11" s="4">
        <v>29</v>
      </c>
      <c r="EM11" s="4">
        <v>29</v>
      </c>
      <c r="EN11" s="4">
        <v>29</v>
      </c>
      <c r="EO11" s="4">
        <v>29</v>
      </c>
      <c r="EP11" s="4">
        <v>29</v>
      </c>
      <c r="EQ11" s="4">
        <v>29</v>
      </c>
      <c r="ER11" s="4">
        <v>29</v>
      </c>
      <c r="ES11" s="4">
        <v>29</v>
      </c>
      <c r="ET11" s="4">
        <v>29</v>
      </c>
      <c r="EU11" s="4">
        <v>29</v>
      </c>
      <c r="EV11" s="4">
        <v>29</v>
      </c>
      <c r="EW11" s="4">
        <v>29</v>
      </c>
      <c r="EX11" s="4">
        <v>29</v>
      </c>
      <c r="EY11" s="4">
        <v>29</v>
      </c>
      <c r="EZ11" s="4">
        <v>29</v>
      </c>
      <c r="FA11" s="4">
        <v>29</v>
      </c>
      <c r="FB11" s="4">
        <v>29</v>
      </c>
      <c r="FC11" s="4">
        <v>29</v>
      </c>
      <c r="FD11" s="4">
        <v>29</v>
      </c>
      <c r="FE11" s="4">
        <v>29</v>
      </c>
      <c r="FF11" s="4">
        <v>29</v>
      </c>
      <c r="FG11" s="4">
        <v>29</v>
      </c>
      <c r="FH11" s="4">
        <v>29</v>
      </c>
      <c r="FI11" s="4">
        <v>29</v>
      </c>
      <c r="FJ11" s="4">
        <v>29</v>
      </c>
      <c r="FK11" s="4">
        <v>29</v>
      </c>
      <c r="FL11" s="4">
        <v>29</v>
      </c>
      <c r="FM11" s="4">
        <v>29</v>
      </c>
      <c r="FN11" s="4">
        <v>29</v>
      </c>
      <c r="FO11" s="4">
        <v>29</v>
      </c>
      <c r="FP11" s="4">
        <v>29</v>
      </c>
      <c r="FQ11" s="4">
        <v>29</v>
      </c>
      <c r="FR11" s="4">
        <v>29</v>
      </c>
      <c r="FS11" s="4">
        <v>29</v>
      </c>
      <c r="FT11" s="4">
        <v>29</v>
      </c>
      <c r="FU11" s="4">
        <v>29</v>
      </c>
      <c r="FV11" s="4">
        <v>29</v>
      </c>
      <c r="FW11" s="4">
        <v>29</v>
      </c>
      <c r="FX11" s="4">
        <v>29</v>
      </c>
      <c r="FY11" s="4">
        <v>29</v>
      </c>
      <c r="FZ11" s="4">
        <v>29</v>
      </c>
      <c r="GA11" s="4">
        <v>29</v>
      </c>
      <c r="GB11" s="4">
        <v>29</v>
      </c>
      <c r="GC11" s="4">
        <v>29</v>
      </c>
      <c r="GD11" s="4">
        <v>29</v>
      </c>
      <c r="GE11" s="4">
        <v>29</v>
      </c>
      <c r="GF11" s="4">
        <v>29</v>
      </c>
      <c r="GG11" s="4">
        <v>29</v>
      </c>
      <c r="GH11" s="4">
        <v>29</v>
      </c>
      <c r="GI11" s="4">
        <v>29</v>
      </c>
      <c r="GJ11" s="4">
        <v>29</v>
      </c>
      <c r="GK11" s="4">
        <v>29</v>
      </c>
      <c r="GL11" s="4">
        <v>29</v>
      </c>
      <c r="GM11" s="4">
        <v>29</v>
      </c>
      <c r="GN11" s="4">
        <v>29</v>
      </c>
      <c r="GO11" s="4">
        <v>29</v>
      </c>
      <c r="GP11" s="4">
        <v>29</v>
      </c>
      <c r="GQ11" s="4">
        <v>29</v>
      </c>
      <c r="GR11" s="4">
        <v>29</v>
      </c>
      <c r="GS11" s="4">
        <v>29</v>
      </c>
      <c r="GT11" s="4">
        <v>29</v>
      </c>
      <c r="GU11" s="4">
        <v>29</v>
      </c>
      <c r="GV11" s="4">
        <v>29</v>
      </c>
      <c r="GW11" s="4">
        <v>29</v>
      </c>
      <c r="GX11" s="4">
        <v>29</v>
      </c>
      <c r="GY11" s="4">
        <v>29</v>
      </c>
      <c r="GZ11" s="4">
        <v>29</v>
      </c>
      <c r="HA11" s="4">
        <v>29</v>
      </c>
      <c r="HB11" s="4">
        <v>29</v>
      </c>
      <c r="HC11" s="4">
        <v>29</v>
      </c>
      <c r="HD11" s="4">
        <v>28</v>
      </c>
      <c r="HE11" s="4">
        <v>28</v>
      </c>
      <c r="HF11" s="5">
        <v>28</v>
      </c>
      <c r="HG11" s="4">
        <v>28</v>
      </c>
      <c r="HH11" s="4">
        <v>28</v>
      </c>
      <c r="HI11" s="4">
        <v>27</v>
      </c>
      <c r="HJ11" s="2">
        <v>27</v>
      </c>
      <c r="HK11" s="2">
        <v>25</v>
      </c>
      <c r="HL11" s="2">
        <v>24</v>
      </c>
      <c r="HM11" s="2">
        <v>23</v>
      </c>
      <c r="HN11" s="2">
        <v>22</v>
      </c>
      <c r="HO11" s="2">
        <v>20</v>
      </c>
      <c r="HP11" s="2">
        <v>19</v>
      </c>
      <c r="HQ11" s="4">
        <v>19</v>
      </c>
      <c r="HR11" s="2">
        <v>18</v>
      </c>
      <c r="HS11" s="2">
        <v>16</v>
      </c>
      <c r="HT11" s="2">
        <v>16</v>
      </c>
      <c r="HU11" s="2">
        <v>14</v>
      </c>
      <c r="HV11" s="2">
        <v>10</v>
      </c>
      <c r="HW11" s="2">
        <v>9</v>
      </c>
      <c r="HX11" s="2">
        <v>9</v>
      </c>
      <c r="HY11" s="2">
        <v>3</v>
      </c>
      <c r="HZ11" s="2">
        <v>3</v>
      </c>
      <c r="IA11" s="2">
        <v>3</v>
      </c>
      <c r="IB11" s="2">
        <v>0</v>
      </c>
      <c r="IC11" s="2">
        <v>0</v>
      </c>
    </row>
    <row r="12" spans="1:237">
      <c r="A12" s="2" t="s">
        <v>1</v>
      </c>
      <c r="B12" s="2">
        <v>28</v>
      </c>
      <c r="C12" s="2">
        <v>28</v>
      </c>
      <c r="D12" s="2">
        <v>28</v>
      </c>
      <c r="E12" s="2">
        <v>28</v>
      </c>
      <c r="F12" s="2">
        <v>28</v>
      </c>
      <c r="G12" s="2">
        <v>28</v>
      </c>
      <c r="H12" s="2">
        <v>28</v>
      </c>
      <c r="I12" s="2">
        <v>28</v>
      </c>
      <c r="J12" s="2">
        <v>28</v>
      </c>
      <c r="K12" s="2">
        <v>28</v>
      </c>
      <c r="L12" s="2">
        <v>28</v>
      </c>
      <c r="M12" s="2">
        <v>28</v>
      </c>
      <c r="N12" s="2">
        <v>28</v>
      </c>
      <c r="O12" s="2">
        <v>28</v>
      </c>
      <c r="P12" s="2">
        <v>28</v>
      </c>
      <c r="Q12" s="2">
        <v>28</v>
      </c>
      <c r="R12" s="2">
        <v>28</v>
      </c>
      <c r="S12" s="2">
        <v>28</v>
      </c>
      <c r="T12" s="2">
        <v>28</v>
      </c>
      <c r="U12" s="2">
        <v>28</v>
      </c>
      <c r="V12" s="2">
        <v>28</v>
      </c>
      <c r="W12" s="2">
        <v>28</v>
      </c>
      <c r="X12" s="2">
        <v>28</v>
      </c>
      <c r="Y12" s="2">
        <v>28</v>
      </c>
      <c r="Z12" s="2">
        <v>28</v>
      </c>
      <c r="AA12" s="2">
        <v>28</v>
      </c>
      <c r="AB12" s="2">
        <v>28</v>
      </c>
      <c r="AC12" s="2">
        <v>28</v>
      </c>
      <c r="AD12" s="2">
        <v>28</v>
      </c>
      <c r="AE12" s="2">
        <v>28</v>
      </c>
      <c r="AF12" s="2">
        <v>28</v>
      </c>
      <c r="AG12" s="2">
        <v>28</v>
      </c>
      <c r="AH12" s="2">
        <v>28</v>
      </c>
      <c r="AI12" s="2">
        <v>28</v>
      </c>
      <c r="AJ12" s="2">
        <v>28</v>
      </c>
      <c r="AK12" s="2">
        <v>28</v>
      </c>
      <c r="AL12" s="2">
        <v>28</v>
      </c>
      <c r="AM12" s="2">
        <v>28</v>
      </c>
      <c r="AN12" s="2">
        <v>28</v>
      </c>
      <c r="AO12" s="2">
        <v>28</v>
      </c>
      <c r="AP12" s="2">
        <v>28</v>
      </c>
      <c r="AQ12" s="2">
        <v>28</v>
      </c>
      <c r="AR12" s="2">
        <v>28</v>
      </c>
      <c r="AS12" s="2">
        <v>28</v>
      </c>
      <c r="AT12" s="2">
        <v>28</v>
      </c>
      <c r="AU12" s="2">
        <v>28</v>
      </c>
      <c r="AV12" s="2">
        <v>28</v>
      </c>
      <c r="AW12" s="2">
        <v>28</v>
      </c>
      <c r="AX12" s="2">
        <v>28</v>
      </c>
      <c r="AY12" s="2">
        <v>28</v>
      </c>
      <c r="AZ12" s="2">
        <v>28</v>
      </c>
      <c r="BA12" s="2">
        <v>28</v>
      </c>
      <c r="BB12" s="2">
        <v>28</v>
      </c>
      <c r="BC12" s="2">
        <v>28</v>
      </c>
      <c r="BD12" s="2">
        <v>28</v>
      </c>
      <c r="BE12" s="2">
        <v>28</v>
      </c>
      <c r="BF12" s="2">
        <v>28</v>
      </c>
      <c r="BG12" s="2">
        <v>28</v>
      </c>
      <c r="BH12" s="2">
        <v>28</v>
      </c>
      <c r="BI12" s="2">
        <v>28</v>
      </c>
      <c r="BJ12" s="2">
        <v>28</v>
      </c>
      <c r="BK12" s="2">
        <v>28</v>
      </c>
      <c r="BL12" s="2">
        <v>28</v>
      </c>
      <c r="BM12" s="2">
        <v>28</v>
      </c>
      <c r="BN12" s="2">
        <v>28</v>
      </c>
      <c r="BO12" s="2">
        <v>28</v>
      </c>
      <c r="BP12" s="2">
        <v>28</v>
      </c>
      <c r="BQ12" s="2">
        <v>28</v>
      </c>
      <c r="BR12" s="2">
        <v>28</v>
      </c>
      <c r="BS12" s="2">
        <v>28</v>
      </c>
      <c r="BT12" s="2">
        <v>28</v>
      </c>
      <c r="BU12" s="2">
        <v>28</v>
      </c>
      <c r="BV12" s="2">
        <v>28</v>
      </c>
      <c r="BW12" s="2">
        <v>28</v>
      </c>
      <c r="BX12" s="2">
        <v>28</v>
      </c>
      <c r="BY12" s="2">
        <v>28</v>
      </c>
      <c r="BZ12" s="2">
        <v>28</v>
      </c>
      <c r="CA12" s="2">
        <v>28</v>
      </c>
      <c r="CB12" s="2">
        <v>28</v>
      </c>
      <c r="CC12" s="2">
        <v>28</v>
      </c>
      <c r="CD12" s="2">
        <v>28</v>
      </c>
      <c r="CE12" s="2">
        <v>28</v>
      </c>
      <c r="CF12" s="2">
        <v>28</v>
      </c>
      <c r="CG12" s="2">
        <v>28</v>
      </c>
      <c r="CH12" s="2">
        <v>28</v>
      </c>
      <c r="CI12" s="2">
        <v>28</v>
      </c>
      <c r="CJ12" s="2">
        <v>28</v>
      </c>
      <c r="CK12" s="2">
        <v>28</v>
      </c>
      <c r="CL12" s="2">
        <v>28</v>
      </c>
      <c r="CM12" s="2">
        <v>28</v>
      </c>
      <c r="CN12" s="2">
        <v>28</v>
      </c>
      <c r="CO12" s="2">
        <v>28</v>
      </c>
      <c r="CP12" s="2">
        <v>28</v>
      </c>
      <c r="CQ12" s="2">
        <v>28</v>
      </c>
      <c r="CR12" s="2">
        <v>28</v>
      </c>
      <c r="CS12" s="2">
        <v>28</v>
      </c>
      <c r="CT12" s="2">
        <v>28</v>
      </c>
      <c r="CU12" s="2">
        <v>28</v>
      </c>
      <c r="CV12" s="2">
        <v>28</v>
      </c>
      <c r="CW12" s="2">
        <v>28</v>
      </c>
      <c r="CX12" s="2">
        <v>28</v>
      </c>
      <c r="CY12" s="2">
        <v>28</v>
      </c>
      <c r="CZ12" s="2">
        <v>28</v>
      </c>
      <c r="DA12" s="2">
        <v>28</v>
      </c>
      <c r="DB12" s="2">
        <v>28</v>
      </c>
      <c r="DC12" s="2">
        <v>28</v>
      </c>
      <c r="DD12" s="2">
        <v>28</v>
      </c>
      <c r="DE12" s="2">
        <v>28</v>
      </c>
      <c r="DF12" s="2">
        <v>28</v>
      </c>
      <c r="DG12" s="2">
        <v>28</v>
      </c>
      <c r="DH12" s="2">
        <v>28</v>
      </c>
      <c r="DI12" s="2">
        <v>28</v>
      </c>
      <c r="DJ12" s="2">
        <v>28</v>
      </c>
      <c r="DK12" s="2">
        <v>28</v>
      </c>
      <c r="DL12" s="2">
        <v>28</v>
      </c>
      <c r="DM12" s="2">
        <v>28</v>
      </c>
      <c r="DN12" s="2">
        <v>28</v>
      </c>
      <c r="DO12" s="2">
        <v>28</v>
      </c>
      <c r="DP12" s="2">
        <v>28</v>
      </c>
      <c r="DQ12" s="2">
        <v>28</v>
      </c>
      <c r="DR12" s="2">
        <v>28</v>
      </c>
      <c r="DS12" s="2">
        <v>28</v>
      </c>
      <c r="DT12" s="2">
        <v>28</v>
      </c>
      <c r="DU12" s="2">
        <v>28</v>
      </c>
      <c r="DV12" s="2">
        <v>28</v>
      </c>
      <c r="DW12" s="2">
        <v>28</v>
      </c>
      <c r="DX12" s="2">
        <v>28</v>
      </c>
      <c r="DY12" s="2">
        <v>28</v>
      </c>
      <c r="DZ12" s="2">
        <v>28</v>
      </c>
      <c r="EA12" s="2">
        <v>28</v>
      </c>
      <c r="EB12" s="2">
        <v>28</v>
      </c>
      <c r="EC12" s="2">
        <v>28</v>
      </c>
      <c r="ED12" s="2">
        <v>28</v>
      </c>
      <c r="EE12" s="2">
        <v>28</v>
      </c>
      <c r="EF12" s="2">
        <v>28</v>
      </c>
      <c r="EG12" s="2">
        <v>28</v>
      </c>
      <c r="EH12" s="2">
        <v>28</v>
      </c>
      <c r="EI12" s="2">
        <v>28</v>
      </c>
      <c r="EJ12" s="2">
        <v>28</v>
      </c>
      <c r="EK12" s="2">
        <v>28</v>
      </c>
      <c r="EL12" s="2">
        <v>28</v>
      </c>
      <c r="EM12" s="2">
        <v>28</v>
      </c>
      <c r="EN12" s="2">
        <v>28</v>
      </c>
      <c r="EO12" s="2">
        <v>28</v>
      </c>
      <c r="EP12" s="2">
        <v>28</v>
      </c>
      <c r="EQ12" s="2">
        <v>28</v>
      </c>
      <c r="ER12" s="2">
        <v>28</v>
      </c>
      <c r="ES12" s="2">
        <v>28</v>
      </c>
      <c r="ET12" s="2">
        <v>28</v>
      </c>
      <c r="EU12" s="2">
        <v>28</v>
      </c>
      <c r="EV12" s="2">
        <v>28</v>
      </c>
      <c r="EW12" s="2">
        <v>28</v>
      </c>
      <c r="EX12" s="2">
        <v>28</v>
      </c>
      <c r="EY12" s="2">
        <v>28</v>
      </c>
      <c r="EZ12" s="2">
        <v>28</v>
      </c>
      <c r="FA12" s="2">
        <v>28</v>
      </c>
      <c r="FB12" s="2">
        <v>28</v>
      </c>
      <c r="FC12" s="2">
        <v>28</v>
      </c>
      <c r="FD12" s="2">
        <v>28</v>
      </c>
      <c r="FE12" s="2">
        <v>27</v>
      </c>
      <c r="FF12" s="2">
        <v>27</v>
      </c>
      <c r="FG12" s="2">
        <v>27</v>
      </c>
      <c r="FH12" s="2">
        <v>27</v>
      </c>
      <c r="FI12" s="2">
        <v>27</v>
      </c>
      <c r="FJ12" s="2">
        <v>27</v>
      </c>
      <c r="FK12" s="2">
        <v>27</v>
      </c>
      <c r="FL12" s="2">
        <v>27</v>
      </c>
      <c r="FM12" s="2">
        <v>27</v>
      </c>
      <c r="FN12" s="2">
        <v>27</v>
      </c>
      <c r="FO12" s="2">
        <v>27</v>
      </c>
      <c r="FP12" s="2">
        <v>27</v>
      </c>
      <c r="FQ12" s="2">
        <v>27</v>
      </c>
      <c r="FR12" s="2">
        <v>27</v>
      </c>
      <c r="FS12" s="2">
        <v>27</v>
      </c>
      <c r="FT12" s="2">
        <v>27</v>
      </c>
      <c r="FU12" s="2">
        <v>27</v>
      </c>
      <c r="FV12" s="2">
        <v>27</v>
      </c>
      <c r="FW12" s="2">
        <v>27</v>
      </c>
      <c r="FX12" s="2">
        <v>27</v>
      </c>
      <c r="FY12" s="2">
        <v>27</v>
      </c>
      <c r="FZ12" s="2">
        <v>27</v>
      </c>
      <c r="GA12" s="2">
        <v>27</v>
      </c>
      <c r="GB12" s="2">
        <v>27</v>
      </c>
      <c r="GC12" s="2">
        <v>27</v>
      </c>
      <c r="GD12" s="2">
        <v>27</v>
      </c>
      <c r="GE12" s="2">
        <v>27</v>
      </c>
      <c r="GF12" s="2">
        <v>27</v>
      </c>
      <c r="GG12" s="2">
        <v>27</v>
      </c>
      <c r="GH12" s="2">
        <v>27</v>
      </c>
      <c r="GI12" s="2">
        <v>27</v>
      </c>
      <c r="GJ12" s="2">
        <v>27</v>
      </c>
      <c r="GK12" s="2">
        <v>27</v>
      </c>
      <c r="GL12" s="2">
        <v>27</v>
      </c>
      <c r="GM12" s="2">
        <v>27</v>
      </c>
      <c r="GN12" s="2">
        <v>27</v>
      </c>
      <c r="GO12" s="2">
        <v>27</v>
      </c>
      <c r="GP12" s="2">
        <v>27</v>
      </c>
      <c r="GQ12" s="2">
        <v>27</v>
      </c>
      <c r="GR12" s="2">
        <v>27</v>
      </c>
      <c r="GS12" s="2">
        <v>27</v>
      </c>
      <c r="GT12" s="2">
        <v>27</v>
      </c>
      <c r="GU12" s="2">
        <v>27</v>
      </c>
      <c r="GV12" s="2">
        <v>27</v>
      </c>
      <c r="GW12" s="2">
        <v>27</v>
      </c>
      <c r="GX12" s="2">
        <v>27</v>
      </c>
      <c r="GY12" s="2">
        <v>27</v>
      </c>
      <c r="GZ12" s="2">
        <v>27</v>
      </c>
      <c r="HA12" s="2">
        <v>27</v>
      </c>
      <c r="HB12" s="2">
        <v>27</v>
      </c>
      <c r="HC12" s="2">
        <v>27</v>
      </c>
      <c r="HD12" s="2">
        <v>27</v>
      </c>
      <c r="HE12" s="2">
        <v>26</v>
      </c>
      <c r="HF12" s="3">
        <v>26</v>
      </c>
      <c r="HG12" s="2">
        <v>25</v>
      </c>
      <c r="HH12" s="2">
        <v>25</v>
      </c>
      <c r="HI12" s="2">
        <v>24</v>
      </c>
      <c r="HJ12" s="2">
        <v>24</v>
      </c>
      <c r="HK12" s="2">
        <v>23</v>
      </c>
      <c r="HL12" s="2">
        <v>23</v>
      </c>
      <c r="HM12" s="2">
        <v>22</v>
      </c>
      <c r="HN12" s="2">
        <v>22</v>
      </c>
      <c r="HO12" s="2">
        <v>17</v>
      </c>
      <c r="HP12" s="2">
        <v>14</v>
      </c>
      <c r="HQ12" s="2">
        <v>11</v>
      </c>
      <c r="HR12" s="2">
        <v>8</v>
      </c>
      <c r="HS12" s="4">
        <v>6</v>
      </c>
      <c r="HT12" s="2">
        <v>6</v>
      </c>
      <c r="HU12" s="2">
        <v>2</v>
      </c>
      <c r="HV12" s="2">
        <v>2</v>
      </c>
      <c r="HW12" s="2">
        <v>2</v>
      </c>
      <c r="HX12" s="4">
        <v>2</v>
      </c>
      <c r="HY12" s="2">
        <v>1</v>
      </c>
      <c r="HZ12" s="4">
        <v>1</v>
      </c>
      <c r="IA12" s="2">
        <v>0</v>
      </c>
      <c r="IB12" s="4">
        <v>0</v>
      </c>
      <c r="IC12" s="2">
        <v>0</v>
      </c>
    </row>
    <row r="13" spans="1:237">
      <c r="A13" s="2" t="s">
        <v>6</v>
      </c>
      <c r="B13" s="2">
        <v>27</v>
      </c>
      <c r="C13" s="2">
        <v>27</v>
      </c>
      <c r="D13" s="2">
        <v>27</v>
      </c>
      <c r="E13" s="2">
        <v>27</v>
      </c>
      <c r="F13" s="2">
        <v>27</v>
      </c>
      <c r="G13" s="2">
        <v>27</v>
      </c>
      <c r="H13" s="2">
        <v>27</v>
      </c>
      <c r="I13" s="2">
        <v>27</v>
      </c>
      <c r="J13" s="2">
        <v>27</v>
      </c>
      <c r="K13" s="2">
        <v>27</v>
      </c>
      <c r="L13" s="2">
        <v>27</v>
      </c>
      <c r="M13" s="2">
        <v>27</v>
      </c>
      <c r="N13" s="2">
        <v>27</v>
      </c>
      <c r="O13" s="2">
        <v>27</v>
      </c>
      <c r="P13" s="2">
        <v>27</v>
      </c>
      <c r="Q13" s="2">
        <v>27</v>
      </c>
      <c r="R13" s="2">
        <v>27</v>
      </c>
      <c r="S13" s="2">
        <v>27</v>
      </c>
      <c r="T13" s="2">
        <v>27</v>
      </c>
      <c r="U13" s="2">
        <v>27</v>
      </c>
      <c r="V13" s="2">
        <v>27</v>
      </c>
      <c r="W13" s="2">
        <v>27</v>
      </c>
      <c r="X13" s="2">
        <v>27</v>
      </c>
      <c r="Y13" s="2">
        <v>27</v>
      </c>
      <c r="Z13" s="2">
        <v>27</v>
      </c>
      <c r="AA13" s="2">
        <v>27</v>
      </c>
      <c r="AB13" s="2">
        <v>27</v>
      </c>
      <c r="AC13" s="2">
        <v>27</v>
      </c>
      <c r="AD13" s="2">
        <v>27</v>
      </c>
      <c r="AE13" s="2">
        <v>27</v>
      </c>
      <c r="AF13" s="2">
        <v>27</v>
      </c>
      <c r="AG13" s="2">
        <v>27</v>
      </c>
      <c r="AH13" s="2">
        <v>27</v>
      </c>
      <c r="AI13" s="2">
        <v>27</v>
      </c>
      <c r="AJ13" s="2">
        <v>27</v>
      </c>
      <c r="AK13" s="2">
        <v>27</v>
      </c>
      <c r="AL13" s="2">
        <v>27</v>
      </c>
      <c r="AM13" s="2">
        <v>27</v>
      </c>
      <c r="AN13" s="2">
        <v>27</v>
      </c>
      <c r="AO13" s="2">
        <v>27</v>
      </c>
      <c r="AP13" s="2">
        <v>27</v>
      </c>
      <c r="AQ13" s="2">
        <v>27</v>
      </c>
      <c r="AR13" s="2">
        <v>27</v>
      </c>
      <c r="AS13" s="2">
        <v>27</v>
      </c>
      <c r="AT13" s="2">
        <v>27</v>
      </c>
      <c r="AU13" s="2">
        <v>27</v>
      </c>
      <c r="AV13" s="2">
        <v>27</v>
      </c>
      <c r="AW13" s="2">
        <v>27</v>
      </c>
      <c r="AX13" s="2">
        <v>27</v>
      </c>
      <c r="AY13" s="2">
        <v>27</v>
      </c>
      <c r="AZ13" s="2">
        <v>27</v>
      </c>
      <c r="BA13" s="2">
        <v>27</v>
      </c>
      <c r="BB13" s="2">
        <v>27</v>
      </c>
      <c r="BC13" s="2">
        <v>27</v>
      </c>
      <c r="BD13" s="2">
        <v>27</v>
      </c>
      <c r="BE13" s="2">
        <v>27</v>
      </c>
      <c r="BF13" s="2">
        <v>27</v>
      </c>
      <c r="BG13" s="2">
        <v>27</v>
      </c>
      <c r="BH13" s="2">
        <v>27</v>
      </c>
      <c r="BI13" s="2">
        <v>27</v>
      </c>
      <c r="BJ13" s="2">
        <v>27</v>
      </c>
      <c r="BK13" s="2">
        <v>27</v>
      </c>
      <c r="BL13" s="2">
        <v>27</v>
      </c>
      <c r="BM13" s="2">
        <v>27</v>
      </c>
      <c r="BN13" s="2">
        <v>27</v>
      </c>
      <c r="BO13" s="2">
        <v>27</v>
      </c>
      <c r="BP13" s="2">
        <v>27</v>
      </c>
      <c r="BQ13" s="2">
        <v>27</v>
      </c>
      <c r="BR13" s="2">
        <v>27</v>
      </c>
      <c r="BS13" s="2">
        <v>27</v>
      </c>
      <c r="BT13" s="2">
        <v>27</v>
      </c>
      <c r="BU13" s="2">
        <v>27</v>
      </c>
      <c r="BV13" s="2">
        <v>27</v>
      </c>
      <c r="BW13" s="2">
        <v>27</v>
      </c>
      <c r="BX13" s="2">
        <v>27</v>
      </c>
      <c r="BY13" s="2">
        <v>27</v>
      </c>
      <c r="BZ13" s="2">
        <v>27</v>
      </c>
      <c r="CA13" s="2">
        <v>27</v>
      </c>
      <c r="CB13" s="2">
        <v>27</v>
      </c>
      <c r="CC13" s="2">
        <v>27</v>
      </c>
      <c r="CD13" s="2">
        <v>27</v>
      </c>
      <c r="CE13" s="2">
        <v>27</v>
      </c>
      <c r="CF13" s="2">
        <v>27</v>
      </c>
      <c r="CG13" s="2">
        <v>27</v>
      </c>
      <c r="CH13" s="2">
        <v>27</v>
      </c>
      <c r="CI13" s="2">
        <v>27</v>
      </c>
      <c r="CJ13" s="2">
        <v>27</v>
      </c>
      <c r="CK13" s="2">
        <v>27</v>
      </c>
      <c r="CL13" s="2">
        <v>27</v>
      </c>
      <c r="CM13" s="2">
        <v>27</v>
      </c>
      <c r="CN13" s="2">
        <v>27</v>
      </c>
      <c r="CO13" s="2">
        <v>27</v>
      </c>
      <c r="CP13" s="2">
        <v>27</v>
      </c>
      <c r="CQ13" s="2">
        <v>27</v>
      </c>
      <c r="CR13" s="2">
        <v>27</v>
      </c>
      <c r="CS13" s="2">
        <v>27</v>
      </c>
      <c r="CT13" s="2">
        <v>27</v>
      </c>
      <c r="CU13" s="2">
        <v>27</v>
      </c>
      <c r="CV13" s="2">
        <v>27</v>
      </c>
      <c r="CW13" s="2">
        <v>27</v>
      </c>
      <c r="CX13" s="2">
        <v>27</v>
      </c>
      <c r="CY13" s="2">
        <v>27</v>
      </c>
      <c r="CZ13" s="2">
        <v>27</v>
      </c>
      <c r="DA13" s="2">
        <v>27</v>
      </c>
      <c r="DB13" s="2">
        <v>27</v>
      </c>
      <c r="DC13" s="2">
        <v>27</v>
      </c>
      <c r="DD13" s="2">
        <v>27</v>
      </c>
      <c r="DE13" s="2">
        <v>27</v>
      </c>
      <c r="DF13" s="2">
        <v>27</v>
      </c>
      <c r="DG13" s="2">
        <v>27</v>
      </c>
      <c r="DH13" s="2">
        <v>27</v>
      </c>
      <c r="DI13" s="2">
        <v>27</v>
      </c>
      <c r="DJ13" s="2">
        <v>27</v>
      </c>
      <c r="DK13" s="2">
        <v>27</v>
      </c>
      <c r="DL13" s="2">
        <v>27</v>
      </c>
      <c r="DM13" s="2">
        <v>27</v>
      </c>
      <c r="DN13" s="2">
        <v>27</v>
      </c>
      <c r="DO13" s="2">
        <v>27</v>
      </c>
      <c r="DP13" s="2">
        <v>27</v>
      </c>
      <c r="DQ13" s="2">
        <v>27</v>
      </c>
      <c r="DR13" s="2">
        <v>27</v>
      </c>
      <c r="DS13" s="2">
        <v>27</v>
      </c>
      <c r="DT13" s="2">
        <v>27</v>
      </c>
      <c r="DU13" s="2">
        <v>27</v>
      </c>
      <c r="DV13" s="2">
        <v>27</v>
      </c>
      <c r="DW13" s="2">
        <v>27</v>
      </c>
      <c r="DX13" s="2">
        <v>27</v>
      </c>
      <c r="DY13" s="2">
        <v>27</v>
      </c>
      <c r="DZ13" s="2">
        <v>27</v>
      </c>
      <c r="EA13" s="2">
        <v>27</v>
      </c>
      <c r="EB13" s="2">
        <v>27</v>
      </c>
      <c r="EC13" s="2">
        <v>27</v>
      </c>
      <c r="ED13" s="2">
        <v>27</v>
      </c>
      <c r="EE13" s="2">
        <v>27</v>
      </c>
      <c r="EF13" s="2">
        <v>27</v>
      </c>
      <c r="EG13" s="2">
        <v>27</v>
      </c>
      <c r="EH13" s="2">
        <v>27</v>
      </c>
      <c r="EI13" s="2">
        <v>27</v>
      </c>
      <c r="EJ13" s="2">
        <v>27</v>
      </c>
      <c r="EK13" s="2">
        <v>27</v>
      </c>
      <c r="EL13" s="2">
        <v>27</v>
      </c>
      <c r="EM13" s="2">
        <v>27</v>
      </c>
      <c r="EN13" s="2">
        <v>27</v>
      </c>
      <c r="EO13" s="2">
        <v>27</v>
      </c>
      <c r="EP13" s="2">
        <v>27</v>
      </c>
      <c r="EQ13" s="2">
        <v>27</v>
      </c>
      <c r="ER13" s="2">
        <v>27</v>
      </c>
      <c r="ES13" s="2">
        <v>27</v>
      </c>
      <c r="ET13" s="2">
        <v>27</v>
      </c>
      <c r="EU13" s="2">
        <v>27</v>
      </c>
      <c r="EV13" s="2">
        <v>27</v>
      </c>
      <c r="EW13" s="2">
        <v>27</v>
      </c>
      <c r="EX13" s="2">
        <v>27</v>
      </c>
      <c r="EY13" s="2">
        <v>27</v>
      </c>
      <c r="EZ13" s="2">
        <v>27</v>
      </c>
      <c r="FA13" s="2">
        <v>27</v>
      </c>
      <c r="FB13" s="2">
        <v>27</v>
      </c>
      <c r="FC13" s="2">
        <v>27</v>
      </c>
      <c r="FD13" s="2">
        <v>27</v>
      </c>
      <c r="FE13" s="2">
        <v>27</v>
      </c>
      <c r="FF13" s="2">
        <v>27</v>
      </c>
      <c r="FG13" s="2">
        <v>27</v>
      </c>
      <c r="FH13" s="2">
        <v>27</v>
      </c>
      <c r="FI13" s="2">
        <v>27</v>
      </c>
      <c r="FJ13" s="2">
        <v>27</v>
      </c>
      <c r="FK13" s="2">
        <v>27</v>
      </c>
      <c r="FL13" s="2">
        <v>27</v>
      </c>
      <c r="FM13" s="2">
        <v>27</v>
      </c>
      <c r="FN13" s="2">
        <v>27</v>
      </c>
      <c r="FO13" s="2">
        <v>27</v>
      </c>
      <c r="FP13" s="2">
        <v>27</v>
      </c>
      <c r="FQ13" s="2">
        <v>27</v>
      </c>
      <c r="FR13" s="2">
        <v>27</v>
      </c>
      <c r="FS13" s="2">
        <v>27</v>
      </c>
      <c r="FT13" s="2">
        <v>27</v>
      </c>
      <c r="FU13" s="2">
        <v>27</v>
      </c>
      <c r="FV13" s="2">
        <v>27</v>
      </c>
      <c r="FW13" s="2">
        <v>27</v>
      </c>
      <c r="FX13" s="2">
        <v>27</v>
      </c>
      <c r="FY13" s="2">
        <v>27</v>
      </c>
      <c r="FZ13" s="2">
        <v>27</v>
      </c>
      <c r="GA13" s="2">
        <v>27</v>
      </c>
      <c r="GB13" s="2">
        <v>27</v>
      </c>
      <c r="GC13" s="2">
        <v>27</v>
      </c>
      <c r="GD13" s="2">
        <v>27</v>
      </c>
      <c r="GE13" s="2">
        <v>27</v>
      </c>
      <c r="GF13" s="2">
        <v>27</v>
      </c>
      <c r="GG13" s="2">
        <v>27</v>
      </c>
      <c r="GH13" s="2">
        <v>27</v>
      </c>
      <c r="GI13" s="2">
        <v>27</v>
      </c>
      <c r="GJ13" s="2">
        <v>27</v>
      </c>
      <c r="GK13" s="2">
        <v>27</v>
      </c>
      <c r="GL13" s="2">
        <v>27</v>
      </c>
      <c r="GM13" s="2">
        <v>27</v>
      </c>
      <c r="GN13" s="2">
        <v>27</v>
      </c>
      <c r="GO13" s="2">
        <v>27</v>
      </c>
      <c r="GP13" s="2">
        <v>27</v>
      </c>
      <c r="GQ13" s="2">
        <v>27</v>
      </c>
      <c r="GR13" s="2">
        <v>27</v>
      </c>
      <c r="GS13" s="2">
        <v>27</v>
      </c>
      <c r="GT13" s="2">
        <v>27</v>
      </c>
      <c r="GU13" s="2">
        <v>27</v>
      </c>
      <c r="GV13" s="2">
        <v>27</v>
      </c>
      <c r="GW13" s="2">
        <v>27</v>
      </c>
      <c r="GX13" s="2">
        <v>27</v>
      </c>
      <c r="GY13" s="2">
        <v>27</v>
      </c>
      <c r="GZ13" s="2">
        <v>27</v>
      </c>
      <c r="HA13" s="2">
        <v>27</v>
      </c>
      <c r="HB13" s="2">
        <v>27</v>
      </c>
      <c r="HC13" s="2">
        <v>27</v>
      </c>
      <c r="HD13" s="2">
        <v>25</v>
      </c>
      <c r="HE13" s="2">
        <v>24</v>
      </c>
      <c r="HF13" s="3">
        <v>23</v>
      </c>
      <c r="HG13" s="2">
        <v>23</v>
      </c>
      <c r="HH13" s="2">
        <v>23</v>
      </c>
      <c r="HI13" s="2">
        <v>24</v>
      </c>
      <c r="HJ13" s="2">
        <v>24</v>
      </c>
      <c r="HK13" s="2">
        <v>23</v>
      </c>
      <c r="HL13" s="2">
        <v>22</v>
      </c>
      <c r="HM13" s="2">
        <v>21</v>
      </c>
      <c r="HN13" s="2">
        <v>14</v>
      </c>
      <c r="HO13" s="2">
        <v>12</v>
      </c>
      <c r="HP13" s="2">
        <v>12</v>
      </c>
      <c r="HQ13" s="2">
        <v>8</v>
      </c>
      <c r="HR13" s="2">
        <v>7</v>
      </c>
      <c r="HS13" s="2">
        <v>6</v>
      </c>
      <c r="HT13" s="4">
        <v>6</v>
      </c>
      <c r="HU13" s="2">
        <v>6</v>
      </c>
      <c r="HV13" s="2">
        <v>6</v>
      </c>
      <c r="HW13" s="2">
        <v>2</v>
      </c>
      <c r="HX13" s="2">
        <v>2</v>
      </c>
      <c r="HY13" s="2">
        <v>2</v>
      </c>
      <c r="HZ13" s="4">
        <v>1</v>
      </c>
      <c r="IA13" s="2">
        <v>0</v>
      </c>
      <c r="IB13" s="2">
        <v>0</v>
      </c>
      <c r="IC13" s="2">
        <v>0</v>
      </c>
    </row>
    <row r="14" spans="1:237">
      <c r="A14" s="4" t="s">
        <v>13</v>
      </c>
      <c r="B14" s="4">
        <v>17</v>
      </c>
      <c r="C14" s="4">
        <v>17</v>
      </c>
      <c r="D14" s="4">
        <v>17</v>
      </c>
      <c r="E14" s="4">
        <v>17</v>
      </c>
      <c r="F14" s="4">
        <v>17</v>
      </c>
      <c r="G14" s="4">
        <v>17</v>
      </c>
      <c r="H14" s="4">
        <v>17</v>
      </c>
      <c r="I14" s="4">
        <v>17</v>
      </c>
      <c r="J14" s="4">
        <v>17</v>
      </c>
      <c r="K14" s="4">
        <v>17</v>
      </c>
      <c r="L14" s="4">
        <v>17</v>
      </c>
      <c r="M14" s="4">
        <v>17</v>
      </c>
      <c r="N14" s="4">
        <v>17</v>
      </c>
      <c r="O14" s="4">
        <v>17</v>
      </c>
      <c r="P14" s="4">
        <v>17</v>
      </c>
      <c r="Q14" s="4">
        <v>17</v>
      </c>
      <c r="R14" s="4">
        <v>17</v>
      </c>
      <c r="S14" s="4">
        <v>17</v>
      </c>
      <c r="T14" s="4">
        <v>17</v>
      </c>
      <c r="U14" s="4">
        <v>17</v>
      </c>
      <c r="V14" s="4">
        <v>17</v>
      </c>
      <c r="W14" s="4">
        <v>17</v>
      </c>
      <c r="X14" s="4">
        <v>17</v>
      </c>
      <c r="Y14" s="4">
        <v>17</v>
      </c>
      <c r="Z14" s="4">
        <v>17</v>
      </c>
      <c r="AA14" s="4">
        <v>17</v>
      </c>
      <c r="AB14" s="4">
        <v>17</v>
      </c>
      <c r="AC14" s="4">
        <v>17</v>
      </c>
      <c r="AD14" s="4">
        <v>17</v>
      </c>
      <c r="AE14" s="4">
        <v>17</v>
      </c>
      <c r="AF14" s="4">
        <v>17</v>
      </c>
      <c r="AG14" s="4">
        <v>17</v>
      </c>
      <c r="AH14" s="4">
        <v>17</v>
      </c>
      <c r="AI14" s="4">
        <v>17</v>
      </c>
      <c r="AJ14" s="4">
        <v>17</v>
      </c>
      <c r="AK14" s="4">
        <v>17</v>
      </c>
      <c r="AL14" s="4">
        <v>17</v>
      </c>
      <c r="AM14" s="4">
        <v>17</v>
      </c>
      <c r="AN14" s="4">
        <v>17</v>
      </c>
      <c r="AO14" s="4">
        <v>17</v>
      </c>
      <c r="AP14" s="4">
        <v>17</v>
      </c>
      <c r="AQ14" s="4">
        <v>17</v>
      </c>
      <c r="AR14" s="4">
        <v>17</v>
      </c>
      <c r="AS14" s="4">
        <v>17</v>
      </c>
      <c r="AT14" s="4">
        <v>17</v>
      </c>
      <c r="AU14" s="4">
        <v>17</v>
      </c>
      <c r="AV14" s="4">
        <v>17</v>
      </c>
      <c r="AW14" s="4">
        <v>17</v>
      </c>
      <c r="AX14" s="4">
        <v>17</v>
      </c>
      <c r="AY14" s="4">
        <v>17</v>
      </c>
      <c r="AZ14" s="4">
        <v>17</v>
      </c>
      <c r="BA14" s="4">
        <v>17</v>
      </c>
      <c r="BB14" s="4">
        <v>17</v>
      </c>
      <c r="BC14" s="4">
        <v>17</v>
      </c>
      <c r="BD14" s="4">
        <v>17</v>
      </c>
      <c r="BE14" s="4">
        <v>17</v>
      </c>
      <c r="BF14" s="4">
        <v>17</v>
      </c>
      <c r="BG14" s="4">
        <v>17</v>
      </c>
      <c r="BH14" s="4">
        <v>17</v>
      </c>
      <c r="BI14" s="4">
        <v>17</v>
      </c>
      <c r="BJ14" s="4">
        <v>17</v>
      </c>
      <c r="BK14" s="4">
        <v>17</v>
      </c>
      <c r="BL14" s="4">
        <v>17</v>
      </c>
      <c r="BM14" s="4">
        <v>17</v>
      </c>
      <c r="BN14" s="4">
        <v>17</v>
      </c>
      <c r="BO14" s="4">
        <v>17</v>
      </c>
      <c r="BP14" s="4">
        <v>17</v>
      </c>
      <c r="BQ14" s="4">
        <v>17</v>
      </c>
      <c r="BR14" s="4">
        <v>17</v>
      </c>
      <c r="BS14" s="4">
        <v>17</v>
      </c>
      <c r="BT14" s="4">
        <v>17</v>
      </c>
      <c r="BU14" s="4">
        <v>17</v>
      </c>
      <c r="BV14" s="4">
        <v>17</v>
      </c>
      <c r="BW14" s="4">
        <v>17</v>
      </c>
      <c r="BX14" s="4">
        <v>17</v>
      </c>
      <c r="BY14" s="4">
        <v>17</v>
      </c>
      <c r="BZ14" s="4">
        <v>17</v>
      </c>
      <c r="CA14" s="4">
        <v>17</v>
      </c>
      <c r="CB14" s="4">
        <v>17</v>
      </c>
      <c r="CC14" s="4">
        <v>17</v>
      </c>
      <c r="CD14" s="4">
        <v>17</v>
      </c>
      <c r="CE14" s="4">
        <v>17</v>
      </c>
      <c r="CF14" s="4">
        <v>17</v>
      </c>
      <c r="CG14" s="4">
        <v>17</v>
      </c>
      <c r="CH14" s="4">
        <v>17</v>
      </c>
      <c r="CI14" s="4">
        <v>17</v>
      </c>
      <c r="CJ14" s="4">
        <v>17</v>
      </c>
      <c r="CK14" s="4">
        <v>17</v>
      </c>
      <c r="CL14" s="4">
        <v>17</v>
      </c>
      <c r="CM14" s="4">
        <v>17</v>
      </c>
      <c r="CN14" s="4">
        <v>17</v>
      </c>
      <c r="CO14" s="4">
        <v>17</v>
      </c>
      <c r="CP14" s="4">
        <v>17</v>
      </c>
      <c r="CQ14" s="4">
        <v>17</v>
      </c>
      <c r="CR14" s="4">
        <v>17</v>
      </c>
      <c r="CS14" s="4">
        <v>17</v>
      </c>
      <c r="CT14" s="4">
        <v>17</v>
      </c>
      <c r="CU14" s="4">
        <v>17</v>
      </c>
      <c r="CV14" s="4">
        <v>17</v>
      </c>
      <c r="CW14" s="4">
        <v>17</v>
      </c>
      <c r="CX14" s="4">
        <v>17</v>
      </c>
      <c r="CY14" s="4">
        <v>17</v>
      </c>
      <c r="CZ14" s="4">
        <v>17</v>
      </c>
      <c r="DA14" s="4">
        <v>17</v>
      </c>
      <c r="DB14" s="4">
        <v>17</v>
      </c>
      <c r="DC14" s="4">
        <v>17</v>
      </c>
      <c r="DD14" s="4">
        <v>17</v>
      </c>
      <c r="DE14" s="4">
        <v>17</v>
      </c>
      <c r="DF14" s="4">
        <v>17</v>
      </c>
      <c r="DG14" s="4">
        <v>17</v>
      </c>
      <c r="DH14" s="4">
        <v>17</v>
      </c>
      <c r="DI14" s="4">
        <v>17</v>
      </c>
      <c r="DJ14" s="4">
        <v>17</v>
      </c>
      <c r="DK14" s="4">
        <v>17</v>
      </c>
      <c r="DL14" s="4">
        <v>17</v>
      </c>
      <c r="DM14" s="4">
        <v>17</v>
      </c>
      <c r="DN14" s="4">
        <v>17</v>
      </c>
      <c r="DO14" s="4">
        <v>17</v>
      </c>
      <c r="DP14" s="4">
        <v>17</v>
      </c>
      <c r="DQ14" s="4">
        <v>17</v>
      </c>
      <c r="DR14" s="4">
        <v>17</v>
      </c>
      <c r="DS14" s="4">
        <v>17</v>
      </c>
      <c r="DT14" s="4">
        <v>17</v>
      </c>
      <c r="DU14" s="4">
        <v>17</v>
      </c>
      <c r="DV14" s="4">
        <v>17</v>
      </c>
      <c r="DW14" s="4">
        <v>17</v>
      </c>
      <c r="DX14" s="4">
        <v>17</v>
      </c>
      <c r="DY14" s="4">
        <v>17</v>
      </c>
      <c r="DZ14" s="4">
        <v>17</v>
      </c>
      <c r="EA14" s="4">
        <v>17</v>
      </c>
      <c r="EB14" s="4">
        <v>17</v>
      </c>
      <c r="EC14" s="4">
        <v>17</v>
      </c>
      <c r="ED14" s="4">
        <v>17</v>
      </c>
      <c r="EE14" s="4">
        <v>17</v>
      </c>
      <c r="EF14" s="4">
        <v>17</v>
      </c>
      <c r="EG14" s="4">
        <v>17</v>
      </c>
      <c r="EH14" s="4">
        <v>17</v>
      </c>
      <c r="EI14" s="4">
        <v>17</v>
      </c>
      <c r="EJ14" s="4">
        <v>17</v>
      </c>
      <c r="EK14" s="4">
        <v>17</v>
      </c>
      <c r="EL14" s="4">
        <v>17</v>
      </c>
      <c r="EM14" s="4">
        <v>17</v>
      </c>
      <c r="EN14" s="4">
        <v>17</v>
      </c>
      <c r="EO14" s="4">
        <v>17</v>
      </c>
      <c r="EP14" s="4">
        <v>17</v>
      </c>
      <c r="EQ14" s="4">
        <v>17</v>
      </c>
      <c r="ER14" s="4">
        <v>17</v>
      </c>
      <c r="ES14" s="4">
        <v>17</v>
      </c>
      <c r="ET14" s="4">
        <v>17</v>
      </c>
      <c r="EU14" s="4">
        <v>17</v>
      </c>
      <c r="EV14" s="4">
        <v>17</v>
      </c>
      <c r="EW14" s="4">
        <v>17</v>
      </c>
      <c r="EX14" s="4">
        <v>17</v>
      </c>
      <c r="EY14" s="4">
        <v>17</v>
      </c>
      <c r="EZ14" s="4">
        <v>17</v>
      </c>
      <c r="FA14" s="4">
        <v>17</v>
      </c>
      <c r="FB14" s="4">
        <v>17</v>
      </c>
      <c r="FC14" s="4">
        <v>17</v>
      </c>
      <c r="FD14" s="4">
        <v>17</v>
      </c>
      <c r="FE14" s="4">
        <v>17</v>
      </c>
      <c r="FF14" s="4">
        <v>17</v>
      </c>
      <c r="FG14" s="4">
        <v>17</v>
      </c>
      <c r="FH14" s="4">
        <v>17</v>
      </c>
      <c r="FI14" s="4">
        <v>17</v>
      </c>
      <c r="FJ14" s="4">
        <v>17</v>
      </c>
      <c r="FK14" s="4">
        <v>17</v>
      </c>
      <c r="FL14" s="4">
        <v>17</v>
      </c>
      <c r="FM14" s="4">
        <v>17</v>
      </c>
      <c r="FN14" s="4">
        <v>17</v>
      </c>
      <c r="FO14" s="4">
        <v>17</v>
      </c>
      <c r="FP14" s="4">
        <v>17</v>
      </c>
      <c r="FQ14" s="4">
        <v>17</v>
      </c>
      <c r="FR14" s="4">
        <v>17</v>
      </c>
      <c r="FS14" s="4">
        <v>17</v>
      </c>
      <c r="FT14" s="4">
        <v>17</v>
      </c>
      <c r="FU14" s="4">
        <v>17</v>
      </c>
      <c r="FV14" s="4">
        <v>17</v>
      </c>
      <c r="FW14" s="4">
        <v>17</v>
      </c>
      <c r="FX14" s="4">
        <v>17</v>
      </c>
      <c r="FY14" s="4">
        <v>17</v>
      </c>
      <c r="FZ14" s="4">
        <v>17</v>
      </c>
      <c r="GA14" s="4">
        <v>17</v>
      </c>
      <c r="GB14" s="4">
        <v>17</v>
      </c>
      <c r="GC14" s="4">
        <v>17</v>
      </c>
      <c r="GD14" s="4">
        <v>17</v>
      </c>
      <c r="GE14" s="4">
        <v>17</v>
      </c>
      <c r="GF14" s="4">
        <v>17</v>
      </c>
      <c r="GG14" s="4">
        <v>17</v>
      </c>
      <c r="GH14" s="4">
        <v>17</v>
      </c>
      <c r="GI14" s="4">
        <v>17</v>
      </c>
      <c r="GJ14" s="4">
        <v>17</v>
      </c>
      <c r="GK14" s="4">
        <v>17</v>
      </c>
      <c r="GL14" s="4">
        <v>17</v>
      </c>
      <c r="GM14" s="4">
        <v>17</v>
      </c>
      <c r="GN14" s="4">
        <v>17</v>
      </c>
      <c r="GO14" s="4">
        <v>17</v>
      </c>
      <c r="GP14" s="4">
        <v>17</v>
      </c>
      <c r="GQ14" s="4">
        <v>17</v>
      </c>
      <c r="GR14" s="4">
        <v>17</v>
      </c>
      <c r="GS14" s="4">
        <v>17</v>
      </c>
      <c r="GT14" s="4">
        <v>17</v>
      </c>
      <c r="GU14" s="4">
        <v>17</v>
      </c>
      <c r="GV14" s="4">
        <v>17</v>
      </c>
      <c r="GW14" s="4">
        <v>17</v>
      </c>
      <c r="GX14" s="4">
        <v>17</v>
      </c>
      <c r="GY14" s="4">
        <v>17</v>
      </c>
      <c r="GZ14" s="4">
        <v>17</v>
      </c>
      <c r="HA14" s="4">
        <v>17</v>
      </c>
      <c r="HB14" s="4">
        <v>17</v>
      </c>
      <c r="HC14" s="4">
        <v>17</v>
      </c>
      <c r="HD14" s="4">
        <v>17</v>
      </c>
      <c r="HE14" s="4">
        <v>17</v>
      </c>
      <c r="HF14" s="5">
        <v>17</v>
      </c>
      <c r="HG14" s="4">
        <v>17</v>
      </c>
      <c r="HH14" s="4">
        <v>16</v>
      </c>
      <c r="HI14" s="4">
        <v>16</v>
      </c>
      <c r="HJ14" s="2">
        <v>15</v>
      </c>
      <c r="HK14" s="2">
        <v>15</v>
      </c>
      <c r="HL14" s="2">
        <v>12</v>
      </c>
      <c r="HM14" s="2">
        <v>11</v>
      </c>
      <c r="HN14" s="2">
        <v>11</v>
      </c>
      <c r="HO14" s="2">
        <v>11</v>
      </c>
      <c r="HP14" s="2">
        <v>11</v>
      </c>
      <c r="HQ14" s="2">
        <v>10</v>
      </c>
      <c r="HR14" s="2">
        <v>6</v>
      </c>
      <c r="HS14" s="4">
        <v>6</v>
      </c>
      <c r="HT14" s="2">
        <v>4</v>
      </c>
      <c r="HU14" s="2">
        <v>4</v>
      </c>
      <c r="HV14" s="2">
        <v>2</v>
      </c>
      <c r="HW14" s="2">
        <v>1</v>
      </c>
      <c r="HX14" s="2">
        <v>1</v>
      </c>
      <c r="HY14" s="2">
        <v>1</v>
      </c>
      <c r="HZ14" s="4">
        <v>1</v>
      </c>
      <c r="IA14" s="2">
        <v>1</v>
      </c>
      <c r="IB14" s="2">
        <v>1</v>
      </c>
      <c r="IC14" s="2">
        <v>0</v>
      </c>
    </row>
    <row r="15" spans="1:237">
      <c r="A15" s="2" t="s">
        <v>7</v>
      </c>
      <c r="B15" s="2">
        <v>13</v>
      </c>
      <c r="C15" s="2">
        <v>13</v>
      </c>
      <c r="D15" s="2">
        <v>13</v>
      </c>
      <c r="E15" s="2">
        <v>13</v>
      </c>
      <c r="F15" s="2">
        <v>13</v>
      </c>
      <c r="G15" s="2">
        <v>13</v>
      </c>
      <c r="H15" s="2">
        <v>13</v>
      </c>
      <c r="I15" s="2">
        <v>13</v>
      </c>
      <c r="J15" s="2">
        <v>13</v>
      </c>
      <c r="K15" s="2">
        <v>13</v>
      </c>
      <c r="L15" s="2">
        <v>13</v>
      </c>
      <c r="M15" s="2">
        <v>13</v>
      </c>
      <c r="N15" s="2">
        <v>13</v>
      </c>
      <c r="O15" s="2">
        <v>13</v>
      </c>
      <c r="P15" s="2">
        <v>13</v>
      </c>
      <c r="Q15" s="2">
        <v>13</v>
      </c>
      <c r="R15" s="2">
        <v>13</v>
      </c>
      <c r="S15" s="2">
        <v>13</v>
      </c>
      <c r="T15" s="2">
        <v>13</v>
      </c>
      <c r="U15" s="2">
        <v>13</v>
      </c>
      <c r="V15" s="2">
        <v>13</v>
      </c>
      <c r="W15" s="2">
        <v>13</v>
      </c>
      <c r="X15" s="2">
        <v>13</v>
      </c>
      <c r="Y15" s="2">
        <v>13</v>
      </c>
      <c r="Z15" s="2">
        <v>13</v>
      </c>
      <c r="AA15" s="2">
        <v>13</v>
      </c>
      <c r="AB15" s="2">
        <v>13</v>
      </c>
      <c r="AC15" s="2">
        <v>13</v>
      </c>
      <c r="AD15" s="2">
        <v>13</v>
      </c>
      <c r="AE15" s="2">
        <v>13</v>
      </c>
      <c r="AF15" s="2">
        <v>13</v>
      </c>
      <c r="AG15" s="2">
        <v>13</v>
      </c>
      <c r="AH15" s="2">
        <v>13</v>
      </c>
      <c r="AI15" s="2">
        <v>13</v>
      </c>
      <c r="AJ15" s="2">
        <v>13</v>
      </c>
      <c r="AK15" s="2">
        <v>13</v>
      </c>
      <c r="AL15" s="2">
        <v>13</v>
      </c>
      <c r="AM15" s="2">
        <v>13</v>
      </c>
      <c r="AN15" s="2">
        <v>13</v>
      </c>
      <c r="AO15" s="2">
        <v>13</v>
      </c>
      <c r="AP15" s="2">
        <v>13</v>
      </c>
      <c r="AQ15" s="2">
        <v>13</v>
      </c>
      <c r="AR15" s="2">
        <v>13</v>
      </c>
      <c r="AS15" s="2">
        <v>13</v>
      </c>
      <c r="AT15" s="2">
        <v>13</v>
      </c>
      <c r="AU15" s="2">
        <v>13</v>
      </c>
      <c r="AV15" s="2">
        <v>13</v>
      </c>
      <c r="AW15" s="2">
        <v>13</v>
      </c>
      <c r="AX15" s="2">
        <v>13</v>
      </c>
      <c r="AY15" s="2">
        <v>13</v>
      </c>
      <c r="AZ15" s="2">
        <v>13</v>
      </c>
      <c r="BA15" s="2">
        <v>13</v>
      </c>
      <c r="BB15" s="2">
        <v>13</v>
      </c>
      <c r="BC15" s="2">
        <v>13</v>
      </c>
      <c r="BD15" s="2">
        <v>13</v>
      </c>
      <c r="BE15" s="2">
        <v>13</v>
      </c>
      <c r="BF15" s="2">
        <v>13</v>
      </c>
      <c r="BG15" s="2">
        <v>13</v>
      </c>
      <c r="BH15" s="2">
        <v>13</v>
      </c>
      <c r="BI15" s="2">
        <v>13</v>
      </c>
      <c r="BJ15" s="2">
        <v>13</v>
      </c>
      <c r="BK15" s="2">
        <v>13</v>
      </c>
      <c r="BL15" s="2">
        <v>13</v>
      </c>
      <c r="BM15" s="2">
        <v>13</v>
      </c>
      <c r="BN15" s="2">
        <v>13</v>
      </c>
      <c r="BO15" s="2">
        <v>13</v>
      </c>
      <c r="BP15" s="2">
        <v>13</v>
      </c>
      <c r="BQ15" s="2">
        <v>13</v>
      </c>
      <c r="BR15" s="2">
        <v>13</v>
      </c>
      <c r="BS15" s="2">
        <v>13</v>
      </c>
      <c r="BT15" s="2">
        <v>13</v>
      </c>
      <c r="BU15" s="2">
        <v>13</v>
      </c>
      <c r="BV15" s="2">
        <v>13</v>
      </c>
      <c r="BW15" s="2">
        <v>13</v>
      </c>
      <c r="BX15" s="2">
        <v>13</v>
      </c>
      <c r="BY15" s="2">
        <v>13</v>
      </c>
      <c r="BZ15" s="2">
        <v>13</v>
      </c>
      <c r="CA15" s="2">
        <v>13</v>
      </c>
      <c r="CB15" s="2">
        <v>13</v>
      </c>
      <c r="CC15" s="2">
        <v>13</v>
      </c>
      <c r="CD15" s="2">
        <v>13</v>
      </c>
      <c r="CE15" s="2">
        <v>13</v>
      </c>
      <c r="CF15" s="2">
        <v>13</v>
      </c>
      <c r="CG15" s="2">
        <v>13</v>
      </c>
      <c r="CH15" s="2">
        <v>13</v>
      </c>
      <c r="CI15" s="2">
        <v>13</v>
      </c>
      <c r="CJ15" s="2">
        <v>13</v>
      </c>
      <c r="CK15" s="2">
        <v>13</v>
      </c>
      <c r="CL15" s="2">
        <v>13</v>
      </c>
      <c r="CM15" s="2">
        <v>13</v>
      </c>
      <c r="CN15" s="2">
        <v>13</v>
      </c>
      <c r="CO15" s="2">
        <v>13</v>
      </c>
      <c r="CP15" s="2">
        <v>13</v>
      </c>
      <c r="CQ15" s="2">
        <v>13</v>
      </c>
      <c r="CR15" s="2">
        <v>13</v>
      </c>
      <c r="CS15" s="2">
        <v>13</v>
      </c>
      <c r="CT15" s="2">
        <v>13</v>
      </c>
      <c r="CU15" s="2">
        <v>13</v>
      </c>
      <c r="CV15" s="2">
        <v>13</v>
      </c>
      <c r="CW15" s="2">
        <v>13</v>
      </c>
      <c r="CX15" s="2">
        <v>13</v>
      </c>
      <c r="CY15" s="2">
        <v>13</v>
      </c>
      <c r="CZ15" s="2">
        <v>13</v>
      </c>
      <c r="DA15" s="2">
        <v>13</v>
      </c>
      <c r="DB15" s="2">
        <v>13</v>
      </c>
      <c r="DC15" s="2">
        <v>13</v>
      </c>
      <c r="DD15" s="2">
        <v>13</v>
      </c>
      <c r="DE15" s="2">
        <v>13</v>
      </c>
      <c r="DF15" s="2">
        <v>13</v>
      </c>
      <c r="DG15" s="2">
        <v>13</v>
      </c>
      <c r="DH15" s="2">
        <v>13</v>
      </c>
      <c r="DI15" s="2">
        <v>13</v>
      </c>
      <c r="DJ15" s="2">
        <v>13</v>
      </c>
      <c r="DK15" s="2">
        <v>13</v>
      </c>
      <c r="DL15" s="2">
        <v>13</v>
      </c>
      <c r="DM15" s="2">
        <v>13</v>
      </c>
      <c r="DN15" s="2">
        <v>13</v>
      </c>
      <c r="DO15" s="2">
        <v>13</v>
      </c>
      <c r="DP15" s="2">
        <v>13</v>
      </c>
      <c r="DQ15" s="2">
        <v>13</v>
      </c>
      <c r="DR15" s="2">
        <v>13</v>
      </c>
      <c r="DS15" s="2">
        <v>13</v>
      </c>
      <c r="DT15" s="2">
        <v>13</v>
      </c>
      <c r="DU15" s="2">
        <v>13</v>
      </c>
      <c r="DV15" s="2">
        <v>13</v>
      </c>
      <c r="DW15" s="2">
        <v>13</v>
      </c>
      <c r="DX15" s="2">
        <v>13</v>
      </c>
      <c r="DY15" s="2">
        <v>13</v>
      </c>
      <c r="DZ15" s="2">
        <v>13</v>
      </c>
      <c r="EA15" s="2">
        <v>13</v>
      </c>
      <c r="EB15" s="2">
        <v>13</v>
      </c>
      <c r="EC15" s="2">
        <v>13</v>
      </c>
      <c r="ED15" s="2">
        <v>13</v>
      </c>
      <c r="EE15" s="2">
        <v>13</v>
      </c>
      <c r="EF15" s="2">
        <v>13</v>
      </c>
      <c r="EG15" s="2">
        <v>13</v>
      </c>
      <c r="EH15" s="2">
        <v>13</v>
      </c>
      <c r="EI15" s="2">
        <v>13</v>
      </c>
      <c r="EJ15" s="2">
        <v>13</v>
      </c>
      <c r="EK15" s="2">
        <v>13</v>
      </c>
      <c r="EL15" s="2">
        <v>13</v>
      </c>
      <c r="EM15" s="2">
        <v>13</v>
      </c>
      <c r="EN15" s="2">
        <v>13</v>
      </c>
      <c r="EO15" s="2">
        <v>13</v>
      </c>
      <c r="EP15" s="2">
        <v>13</v>
      </c>
      <c r="EQ15" s="2">
        <v>13</v>
      </c>
      <c r="ER15" s="2">
        <v>13</v>
      </c>
      <c r="ES15" s="2">
        <v>13</v>
      </c>
      <c r="ET15" s="2">
        <v>13</v>
      </c>
      <c r="EU15" s="2">
        <v>13</v>
      </c>
      <c r="EV15" s="2">
        <v>13</v>
      </c>
      <c r="EW15" s="2">
        <v>13</v>
      </c>
      <c r="EX15" s="2">
        <v>13</v>
      </c>
      <c r="EY15" s="2">
        <v>13</v>
      </c>
      <c r="EZ15" s="2">
        <v>13</v>
      </c>
      <c r="FA15" s="2">
        <v>13</v>
      </c>
      <c r="FB15" s="2">
        <v>13</v>
      </c>
      <c r="FC15" s="2">
        <v>13</v>
      </c>
      <c r="FD15" s="2">
        <v>13</v>
      </c>
      <c r="FE15" s="2">
        <v>13</v>
      </c>
      <c r="FF15" s="2">
        <v>13</v>
      </c>
      <c r="FG15" s="2">
        <v>13</v>
      </c>
      <c r="FH15" s="2">
        <v>13</v>
      </c>
      <c r="FI15" s="2">
        <v>13</v>
      </c>
      <c r="FJ15" s="2">
        <v>13</v>
      </c>
      <c r="FK15" s="2">
        <v>13</v>
      </c>
      <c r="FL15" s="2">
        <v>13</v>
      </c>
      <c r="FM15" s="2">
        <v>13</v>
      </c>
      <c r="FN15" s="2">
        <v>13</v>
      </c>
      <c r="FO15" s="2">
        <v>13</v>
      </c>
      <c r="FP15" s="2">
        <v>13</v>
      </c>
      <c r="FQ15" s="2">
        <v>13</v>
      </c>
      <c r="FR15" s="2">
        <v>13</v>
      </c>
      <c r="FS15" s="2">
        <v>13</v>
      </c>
      <c r="FT15" s="2">
        <v>13</v>
      </c>
      <c r="FU15" s="2">
        <v>13</v>
      </c>
      <c r="FV15" s="2">
        <v>13</v>
      </c>
      <c r="FW15" s="2">
        <v>13</v>
      </c>
      <c r="FX15" s="2">
        <v>13</v>
      </c>
      <c r="FY15" s="2">
        <v>13</v>
      </c>
      <c r="FZ15" s="2">
        <v>13</v>
      </c>
      <c r="GA15" s="2">
        <v>13</v>
      </c>
      <c r="GB15" s="2">
        <v>13</v>
      </c>
      <c r="GC15" s="2">
        <v>13</v>
      </c>
      <c r="GD15" s="2">
        <v>13</v>
      </c>
      <c r="GE15" s="2">
        <v>13</v>
      </c>
      <c r="GF15" s="2">
        <v>13</v>
      </c>
      <c r="GG15" s="2">
        <v>13</v>
      </c>
      <c r="GH15" s="2">
        <v>13</v>
      </c>
      <c r="GI15" s="2">
        <v>13</v>
      </c>
      <c r="GJ15" s="2">
        <v>13</v>
      </c>
      <c r="GK15" s="2">
        <v>13</v>
      </c>
      <c r="GL15" s="2">
        <v>13</v>
      </c>
      <c r="GM15" s="2">
        <v>13</v>
      </c>
      <c r="GN15" s="2">
        <v>13</v>
      </c>
      <c r="GO15" s="2">
        <v>13</v>
      </c>
      <c r="GP15" s="2">
        <v>13</v>
      </c>
      <c r="GQ15" s="2">
        <v>13</v>
      </c>
      <c r="GR15" s="2">
        <v>13</v>
      </c>
      <c r="GS15" s="2">
        <v>13</v>
      </c>
      <c r="GT15" s="2">
        <v>13</v>
      </c>
      <c r="GU15" s="2">
        <v>13</v>
      </c>
      <c r="GV15" s="2">
        <v>13</v>
      </c>
      <c r="GW15" s="2">
        <v>13</v>
      </c>
      <c r="GX15" s="2">
        <v>13</v>
      </c>
      <c r="GY15" s="2">
        <v>13</v>
      </c>
      <c r="GZ15" s="2">
        <v>13</v>
      </c>
      <c r="HA15" s="2">
        <v>13</v>
      </c>
      <c r="HB15" s="2">
        <v>13</v>
      </c>
      <c r="HC15" s="2">
        <v>13</v>
      </c>
      <c r="HD15" s="2">
        <v>13</v>
      </c>
      <c r="HE15" s="2">
        <v>13</v>
      </c>
      <c r="HF15" s="3">
        <v>13</v>
      </c>
      <c r="HG15" s="2">
        <v>13</v>
      </c>
      <c r="HH15" s="2">
        <v>13</v>
      </c>
      <c r="HI15" s="2">
        <v>12</v>
      </c>
      <c r="HJ15" s="2">
        <v>12</v>
      </c>
      <c r="HK15" s="2">
        <v>12</v>
      </c>
      <c r="HL15" s="2">
        <v>11</v>
      </c>
      <c r="HM15" s="2">
        <v>11</v>
      </c>
      <c r="HN15" s="2">
        <v>11</v>
      </c>
      <c r="HO15" s="2">
        <v>11</v>
      </c>
      <c r="HP15" s="2">
        <v>11</v>
      </c>
      <c r="HQ15" s="2">
        <v>11</v>
      </c>
      <c r="HR15" s="4">
        <v>8</v>
      </c>
      <c r="HS15" s="2">
        <v>6</v>
      </c>
      <c r="HT15" s="2">
        <v>6</v>
      </c>
      <c r="HU15" s="2">
        <v>4</v>
      </c>
      <c r="HV15" s="2">
        <v>4</v>
      </c>
      <c r="HW15" s="2">
        <v>4</v>
      </c>
      <c r="HX15" s="2">
        <v>4</v>
      </c>
      <c r="HY15" s="2">
        <v>2</v>
      </c>
      <c r="HZ15" s="2">
        <v>2</v>
      </c>
      <c r="IA15" s="2">
        <v>2</v>
      </c>
      <c r="IB15" s="2">
        <v>1</v>
      </c>
      <c r="IC15" s="2">
        <v>1</v>
      </c>
    </row>
    <row r="16" spans="1:237">
      <c r="A16" s="4" t="s">
        <v>15</v>
      </c>
      <c r="B16" s="4">
        <v>9</v>
      </c>
      <c r="C16" s="4">
        <v>9</v>
      </c>
      <c r="D16" s="4">
        <v>9</v>
      </c>
      <c r="E16" s="4">
        <v>9</v>
      </c>
      <c r="F16" s="4">
        <v>9</v>
      </c>
      <c r="G16" s="4">
        <v>9</v>
      </c>
      <c r="H16" s="4">
        <v>9</v>
      </c>
      <c r="I16" s="4">
        <v>9</v>
      </c>
      <c r="J16" s="4">
        <v>9</v>
      </c>
      <c r="K16" s="4">
        <v>9</v>
      </c>
      <c r="L16" s="4">
        <v>9</v>
      </c>
      <c r="M16" s="4">
        <v>9</v>
      </c>
      <c r="N16" s="4">
        <v>9</v>
      </c>
      <c r="O16" s="4">
        <v>9</v>
      </c>
      <c r="P16" s="4">
        <v>9</v>
      </c>
      <c r="Q16" s="4">
        <v>9</v>
      </c>
      <c r="R16" s="4">
        <v>9</v>
      </c>
      <c r="S16" s="4">
        <v>9</v>
      </c>
      <c r="T16" s="4">
        <v>9</v>
      </c>
      <c r="U16" s="4">
        <v>9</v>
      </c>
      <c r="V16" s="4">
        <v>9</v>
      </c>
      <c r="W16" s="4">
        <v>9</v>
      </c>
      <c r="X16" s="4">
        <v>9</v>
      </c>
      <c r="Y16" s="4">
        <v>9</v>
      </c>
      <c r="Z16" s="4">
        <v>9</v>
      </c>
      <c r="AA16" s="4">
        <v>9</v>
      </c>
      <c r="AB16" s="4">
        <v>9</v>
      </c>
      <c r="AC16" s="4">
        <v>9</v>
      </c>
      <c r="AD16" s="4">
        <v>9</v>
      </c>
      <c r="AE16" s="4">
        <v>9</v>
      </c>
      <c r="AF16" s="4">
        <v>9</v>
      </c>
      <c r="AG16" s="4">
        <v>9</v>
      </c>
      <c r="AH16" s="4">
        <v>9</v>
      </c>
      <c r="AI16" s="4">
        <v>9</v>
      </c>
      <c r="AJ16" s="4">
        <v>9</v>
      </c>
      <c r="AK16" s="4">
        <v>9</v>
      </c>
      <c r="AL16" s="4">
        <v>9</v>
      </c>
      <c r="AM16" s="4">
        <v>9</v>
      </c>
      <c r="AN16" s="4">
        <v>9</v>
      </c>
      <c r="AO16" s="4">
        <v>9</v>
      </c>
      <c r="AP16" s="4">
        <v>9</v>
      </c>
      <c r="AQ16" s="4">
        <v>9</v>
      </c>
      <c r="AR16" s="4">
        <v>9</v>
      </c>
      <c r="AS16" s="4">
        <v>9</v>
      </c>
      <c r="AT16" s="4">
        <v>9</v>
      </c>
      <c r="AU16" s="4">
        <v>9</v>
      </c>
      <c r="AV16" s="4">
        <v>9</v>
      </c>
      <c r="AW16" s="4">
        <v>9</v>
      </c>
      <c r="AX16" s="4">
        <v>9</v>
      </c>
      <c r="AY16" s="4">
        <v>9</v>
      </c>
      <c r="AZ16" s="4">
        <v>9</v>
      </c>
      <c r="BA16" s="4">
        <v>9</v>
      </c>
      <c r="BB16" s="4">
        <v>9</v>
      </c>
      <c r="BC16" s="4">
        <v>9</v>
      </c>
      <c r="BD16" s="4">
        <v>9</v>
      </c>
      <c r="BE16" s="4">
        <v>9</v>
      </c>
      <c r="BF16" s="4">
        <v>9</v>
      </c>
      <c r="BG16" s="4">
        <v>9</v>
      </c>
      <c r="BH16" s="4">
        <v>9</v>
      </c>
      <c r="BI16" s="4">
        <v>9</v>
      </c>
      <c r="BJ16" s="4">
        <v>9</v>
      </c>
      <c r="BK16" s="4">
        <v>9</v>
      </c>
      <c r="BL16" s="4">
        <v>9</v>
      </c>
      <c r="BM16" s="4">
        <v>9</v>
      </c>
      <c r="BN16" s="4">
        <v>9</v>
      </c>
      <c r="BO16" s="4">
        <v>9</v>
      </c>
      <c r="BP16" s="4">
        <v>9</v>
      </c>
      <c r="BQ16" s="4">
        <v>9</v>
      </c>
      <c r="BR16" s="4">
        <v>9</v>
      </c>
      <c r="BS16" s="4">
        <v>9</v>
      </c>
      <c r="BT16" s="4">
        <v>9</v>
      </c>
      <c r="BU16" s="4">
        <v>9</v>
      </c>
      <c r="BV16" s="4">
        <v>9</v>
      </c>
      <c r="BW16" s="4">
        <v>9</v>
      </c>
      <c r="BX16" s="4">
        <v>9</v>
      </c>
      <c r="BY16" s="4">
        <v>9</v>
      </c>
      <c r="BZ16" s="4">
        <v>9</v>
      </c>
      <c r="CA16" s="4">
        <v>9</v>
      </c>
      <c r="CB16" s="4">
        <v>9</v>
      </c>
      <c r="CC16" s="4">
        <v>9</v>
      </c>
      <c r="CD16" s="4">
        <v>9</v>
      </c>
      <c r="CE16" s="4">
        <v>9</v>
      </c>
      <c r="CF16" s="4">
        <v>9</v>
      </c>
      <c r="CG16" s="4">
        <v>9</v>
      </c>
      <c r="CH16" s="4">
        <v>9</v>
      </c>
      <c r="CI16" s="4">
        <v>9</v>
      </c>
      <c r="CJ16" s="4">
        <v>9</v>
      </c>
      <c r="CK16" s="4">
        <v>9</v>
      </c>
      <c r="CL16" s="4">
        <v>9</v>
      </c>
      <c r="CM16" s="4">
        <v>9</v>
      </c>
      <c r="CN16" s="4">
        <v>9</v>
      </c>
      <c r="CO16" s="4">
        <v>9</v>
      </c>
      <c r="CP16" s="4">
        <v>9</v>
      </c>
      <c r="CQ16" s="4">
        <v>9</v>
      </c>
      <c r="CR16" s="4">
        <v>9</v>
      </c>
      <c r="CS16" s="4">
        <v>9</v>
      </c>
      <c r="CT16" s="4">
        <v>9</v>
      </c>
      <c r="CU16" s="4">
        <v>9</v>
      </c>
      <c r="CV16" s="4">
        <v>9</v>
      </c>
      <c r="CW16" s="4">
        <v>9</v>
      </c>
      <c r="CX16" s="4">
        <v>9</v>
      </c>
      <c r="CY16" s="4">
        <v>9</v>
      </c>
      <c r="CZ16" s="4">
        <v>9</v>
      </c>
      <c r="DA16" s="4">
        <v>9</v>
      </c>
      <c r="DB16" s="4">
        <v>9</v>
      </c>
      <c r="DC16" s="4">
        <v>9</v>
      </c>
      <c r="DD16" s="4">
        <v>9</v>
      </c>
      <c r="DE16" s="4">
        <v>9</v>
      </c>
      <c r="DF16" s="4">
        <v>9</v>
      </c>
      <c r="DG16" s="4">
        <v>9</v>
      </c>
      <c r="DH16" s="4">
        <v>9</v>
      </c>
      <c r="DI16" s="4">
        <v>9</v>
      </c>
      <c r="DJ16" s="4">
        <v>9</v>
      </c>
      <c r="DK16" s="4">
        <v>9</v>
      </c>
      <c r="DL16" s="4">
        <v>9</v>
      </c>
      <c r="DM16" s="4">
        <v>9</v>
      </c>
      <c r="DN16" s="4">
        <v>9</v>
      </c>
      <c r="DO16" s="4">
        <v>9</v>
      </c>
      <c r="DP16" s="4">
        <v>9</v>
      </c>
      <c r="DQ16" s="4">
        <v>9</v>
      </c>
      <c r="DR16" s="4">
        <v>9</v>
      </c>
      <c r="DS16" s="4">
        <v>9</v>
      </c>
      <c r="DT16" s="4">
        <v>9</v>
      </c>
      <c r="DU16" s="4">
        <v>9</v>
      </c>
      <c r="DV16" s="4">
        <v>9</v>
      </c>
      <c r="DW16" s="4">
        <v>9</v>
      </c>
      <c r="DX16" s="4">
        <v>9</v>
      </c>
      <c r="DY16" s="4">
        <v>9</v>
      </c>
      <c r="DZ16" s="4">
        <v>9</v>
      </c>
      <c r="EA16" s="4">
        <v>9</v>
      </c>
      <c r="EB16" s="4">
        <v>9</v>
      </c>
      <c r="EC16" s="4">
        <v>9</v>
      </c>
      <c r="ED16" s="4">
        <v>9</v>
      </c>
      <c r="EE16" s="4">
        <v>9</v>
      </c>
      <c r="EF16" s="4">
        <v>9</v>
      </c>
      <c r="EG16" s="4">
        <v>9</v>
      </c>
      <c r="EH16" s="4">
        <v>9</v>
      </c>
      <c r="EI16" s="4">
        <v>9</v>
      </c>
      <c r="EJ16" s="4">
        <v>9</v>
      </c>
      <c r="EK16" s="4">
        <v>9</v>
      </c>
      <c r="EL16" s="4">
        <v>9</v>
      </c>
      <c r="EM16" s="4">
        <v>9</v>
      </c>
      <c r="EN16" s="4">
        <v>9</v>
      </c>
      <c r="EO16" s="4">
        <v>9</v>
      </c>
      <c r="EP16" s="4">
        <v>9</v>
      </c>
      <c r="EQ16" s="4">
        <v>9</v>
      </c>
      <c r="ER16" s="4">
        <v>9</v>
      </c>
      <c r="ES16" s="4">
        <v>9</v>
      </c>
      <c r="ET16" s="4">
        <v>9</v>
      </c>
      <c r="EU16" s="4">
        <v>9</v>
      </c>
      <c r="EV16" s="4">
        <v>9</v>
      </c>
      <c r="EW16" s="4">
        <v>9</v>
      </c>
      <c r="EX16" s="4">
        <v>9</v>
      </c>
      <c r="EY16" s="4">
        <v>9</v>
      </c>
      <c r="EZ16" s="4">
        <v>9</v>
      </c>
      <c r="FA16" s="4">
        <v>9</v>
      </c>
      <c r="FB16" s="4">
        <v>9</v>
      </c>
      <c r="FC16" s="4">
        <v>9</v>
      </c>
      <c r="FD16" s="4">
        <v>9</v>
      </c>
      <c r="FE16" s="4">
        <v>9</v>
      </c>
      <c r="FF16" s="4">
        <v>9</v>
      </c>
      <c r="FG16" s="4">
        <v>9</v>
      </c>
      <c r="FH16" s="4">
        <v>9</v>
      </c>
      <c r="FI16" s="4">
        <v>9</v>
      </c>
      <c r="FJ16" s="4">
        <v>9</v>
      </c>
      <c r="FK16" s="4">
        <v>9</v>
      </c>
      <c r="FL16" s="4">
        <v>9</v>
      </c>
      <c r="FM16" s="4">
        <v>9</v>
      </c>
      <c r="FN16" s="4">
        <v>9</v>
      </c>
      <c r="FO16" s="4">
        <v>9</v>
      </c>
      <c r="FP16" s="4">
        <v>9</v>
      </c>
      <c r="FQ16" s="4">
        <v>9</v>
      </c>
      <c r="FR16" s="4">
        <v>9</v>
      </c>
      <c r="FS16" s="4">
        <v>9</v>
      </c>
      <c r="FT16" s="4">
        <v>9</v>
      </c>
      <c r="FU16" s="4">
        <v>9</v>
      </c>
      <c r="FV16" s="4">
        <v>9</v>
      </c>
      <c r="FW16" s="4">
        <v>9</v>
      </c>
      <c r="FX16" s="4">
        <v>9</v>
      </c>
      <c r="FY16" s="4">
        <v>9</v>
      </c>
      <c r="FZ16" s="4">
        <v>9</v>
      </c>
      <c r="GA16" s="4">
        <v>9</v>
      </c>
      <c r="GB16" s="4">
        <v>9</v>
      </c>
      <c r="GC16" s="4">
        <v>9</v>
      </c>
      <c r="GD16" s="4">
        <v>9</v>
      </c>
      <c r="GE16" s="4">
        <v>9</v>
      </c>
      <c r="GF16" s="4">
        <v>9</v>
      </c>
      <c r="GG16" s="4">
        <v>9</v>
      </c>
      <c r="GH16" s="4">
        <v>9</v>
      </c>
      <c r="GI16" s="4">
        <v>9</v>
      </c>
      <c r="GJ16" s="4">
        <v>9</v>
      </c>
      <c r="GK16" s="4">
        <v>9</v>
      </c>
      <c r="GL16" s="4">
        <v>9</v>
      </c>
      <c r="GM16" s="4">
        <v>9</v>
      </c>
      <c r="GN16" s="4">
        <v>9</v>
      </c>
      <c r="GO16" s="4">
        <v>9</v>
      </c>
      <c r="GP16" s="4">
        <v>9</v>
      </c>
      <c r="GQ16" s="4">
        <v>9</v>
      </c>
      <c r="GR16" s="4">
        <v>9</v>
      </c>
      <c r="GS16" s="4">
        <v>9</v>
      </c>
      <c r="GT16" s="4">
        <v>9</v>
      </c>
      <c r="GU16" s="4">
        <v>9</v>
      </c>
      <c r="GV16" s="4">
        <v>9</v>
      </c>
      <c r="GW16" s="4">
        <v>9</v>
      </c>
      <c r="GX16" s="4">
        <v>9</v>
      </c>
      <c r="GY16" s="4">
        <v>9</v>
      </c>
      <c r="GZ16" s="4">
        <v>9</v>
      </c>
      <c r="HA16" s="4">
        <v>9</v>
      </c>
      <c r="HB16" s="4">
        <v>9</v>
      </c>
      <c r="HC16" s="4">
        <v>9</v>
      </c>
      <c r="HD16" s="4">
        <v>9</v>
      </c>
      <c r="HE16" s="4">
        <v>9</v>
      </c>
      <c r="HF16" s="5">
        <v>9</v>
      </c>
      <c r="HG16" s="4">
        <v>9</v>
      </c>
      <c r="HH16" s="4">
        <v>9</v>
      </c>
      <c r="HI16" s="4">
        <v>9</v>
      </c>
      <c r="HJ16" s="2">
        <v>9</v>
      </c>
      <c r="HK16" s="2">
        <v>9</v>
      </c>
      <c r="HL16" s="4">
        <v>9</v>
      </c>
      <c r="HM16" s="4">
        <v>9</v>
      </c>
      <c r="HN16" s="2">
        <v>9</v>
      </c>
      <c r="HO16" s="2">
        <v>9</v>
      </c>
      <c r="HP16" s="4">
        <v>9</v>
      </c>
      <c r="HQ16" s="4">
        <v>9</v>
      </c>
      <c r="HR16" s="4">
        <v>9</v>
      </c>
      <c r="HS16" s="4">
        <v>9</v>
      </c>
      <c r="HT16" s="4">
        <v>9</v>
      </c>
      <c r="HU16" s="4">
        <v>9</v>
      </c>
      <c r="HV16" s="4">
        <v>7</v>
      </c>
      <c r="HW16" s="4">
        <v>7</v>
      </c>
      <c r="HX16" s="4">
        <v>4</v>
      </c>
      <c r="HY16" s="4">
        <v>1</v>
      </c>
      <c r="HZ16" s="4">
        <v>1</v>
      </c>
      <c r="IA16" s="4">
        <v>0</v>
      </c>
      <c r="IB16" s="4">
        <v>0</v>
      </c>
      <c r="IC16" s="4">
        <v>0</v>
      </c>
    </row>
    <row r="17" spans="1:237">
      <c r="A17" s="4" t="s">
        <v>11</v>
      </c>
      <c r="B17" s="4">
        <v>6</v>
      </c>
      <c r="C17" s="4">
        <v>6</v>
      </c>
      <c r="D17" s="4">
        <v>6</v>
      </c>
      <c r="E17" s="4">
        <v>6</v>
      </c>
      <c r="F17" s="4">
        <v>6</v>
      </c>
      <c r="G17" s="4">
        <v>6</v>
      </c>
      <c r="H17" s="4">
        <v>6</v>
      </c>
      <c r="I17" s="4">
        <v>6</v>
      </c>
      <c r="J17" s="4">
        <v>6</v>
      </c>
      <c r="K17" s="4">
        <v>6</v>
      </c>
      <c r="L17" s="4">
        <v>6</v>
      </c>
      <c r="M17" s="4">
        <v>6</v>
      </c>
      <c r="N17" s="4">
        <v>6</v>
      </c>
      <c r="O17" s="4">
        <v>6</v>
      </c>
      <c r="P17" s="4">
        <v>6</v>
      </c>
      <c r="Q17" s="4">
        <v>6</v>
      </c>
      <c r="R17" s="4">
        <v>6</v>
      </c>
      <c r="S17" s="4">
        <v>6</v>
      </c>
      <c r="T17" s="4">
        <v>6</v>
      </c>
      <c r="U17" s="4">
        <v>6</v>
      </c>
      <c r="V17" s="4">
        <v>6</v>
      </c>
      <c r="W17" s="4">
        <v>6</v>
      </c>
      <c r="X17" s="4">
        <v>6</v>
      </c>
      <c r="Y17" s="4">
        <v>6</v>
      </c>
      <c r="Z17" s="4">
        <v>6</v>
      </c>
      <c r="AA17" s="4">
        <v>6</v>
      </c>
      <c r="AB17" s="4">
        <v>6</v>
      </c>
      <c r="AC17" s="4">
        <v>6</v>
      </c>
      <c r="AD17" s="4">
        <v>6</v>
      </c>
      <c r="AE17" s="4">
        <v>6</v>
      </c>
      <c r="AF17" s="4">
        <v>6</v>
      </c>
      <c r="AG17" s="4">
        <v>6</v>
      </c>
      <c r="AH17" s="4">
        <v>6</v>
      </c>
      <c r="AI17" s="4">
        <v>6</v>
      </c>
      <c r="AJ17" s="4">
        <v>6</v>
      </c>
      <c r="AK17" s="4">
        <v>6</v>
      </c>
      <c r="AL17" s="4">
        <v>6</v>
      </c>
      <c r="AM17" s="4">
        <v>6</v>
      </c>
      <c r="AN17" s="4">
        <v>6</v>
      </c>
      <c r="AO17" s="4">
        <v>6</v>
      </c>
      <c r="AP17" s="4">
        <v>6</v>
      </c>
      <c r="AQ17" s="4">
        <v>6</v>
      </c>
      <c r="AR17" s="4">
        <v>6</v>
      </c>
      <c r="AS17" s="4">
        <v>6</v>
      </c>
      <c r="AT17" s="4">
        <v>6</v>
      </c>
      <c r="AU17" s="4">
        <v>6</v>
      </c>
      <c r="AV17" s="4">
        <v>6</v>
      </c>
      <c r="AW17" s="4">
        <v>6</v>
      </c>
      <c r="AX17" s="4">
        <v>6</v>
      </c>
      <c r="AY17" s="4">
        <v>6</v>
      </c>
      <c r="AZ17" s="4">
        <v>6</v>
      </c>
      <c r="BA17" s="4">
        <v>6</v>
      </c>
      <c r="BB17" s="4">
        <v>6</v>
      </c>
      <c r="BC17" s="4">
        <v>6</v>
      </c>
      <c r="BD17" s="4">
        <v>6</v>
      </c>
      <c r="BE17" s="4">
        <v>6</v>
      </c>
      <c r="BF17" s="4">
        <v>6</v>
      </c>
      <c r="BG17" s="4">
        <v>6</v>
      </c>
      <c r="BH17" s="4">
        <v>6</v>
      </c>
      <c r="BI17" s="4">
        <v>6</v>
      </c>
      <c r="BJ17" s="4">
        <v>6</v>
      </c>
      <c r="BK17" s="4">
        <v>6</v>
      </c>
      <c r="BL17" s="4">
        <v>6</v>
      </c>
      <c r="BM17" s="4">
        <v>6</v>
      </c>
      <c r="BN17" s="4">
        <v>6</v>
      </c>
      <c r="BO17" s="4">
        <v>6</v>
      </c>
      <c r="BP17" s="4">
        <v>6</v>
      </c>
      <c r="BQ17" s="4">
        <v>6</v>
      </c>
      <c r="BR17" s="4">
        <v>6</v>
      </c>
      <c r="BS17" s="4">
        <v>6</v>
      </c>
      <c r="BT17" s="4">
        <v>6</v>
      </c>
      <c r="BU17" s="4">
        <v>6</v>
      </c>
      <c r="BV17" s="4">
        <v>6</v>
      </c>
      <c r="BW17" s="4">
        <v>6</v>
      </c>
      <c r="BX17" s="4">
        <v>6</v>
      </c>
      <c r="BY17" s="4">
        <v>6</v>
      </c>
      <c r="BZ17" s="4">
        <v>6</v>
      </c>
      <c r="CA17" s="4">
        <v>6</v>
      </c>
      <c r="CB17" s="4">
        <v>6</v>
      </c>
      <c r="CC17" s="4">
        <v>6</v>
      </c>
      <c r="CD17" s="4">
        <v>6</v>
      </c>
      <c r="CE17" s="4">
        <v>6</v>
      </c>
      <c r="CF17" s="4">
        <v>6</v>
      </c>
      <c r="CG17" s="4">
        <v>6</v>
      </c>
      <c r="CH17" s="4">
        <v>6</v>
      </c>
      <c r="CI17" s="4">
        <v>6</v>
      </c>
      <c r="CJ17" s="4">
        <v>6</v>
      </c>
      <c r="CK17" s="4">
        <v>6</v>
      </c>
      <c r="CL17" s="4">
        <v>6</v>
      </c>
      <c r="CM17" s="4">
        <v>6</v>
      </c>
      <c r="CN17" s="4">
        <v>6</v>
      </c>
      <c r="CO17" s="4">
        <v>6</v>
      </c>
      <c r="CP17" s="4">
        <v>6</v>
      </c>
      <c r="CQ17" s="4">
        <v>6</v>
      </c>
      <c r="CR17" s="4">
        <v>6</v>
      </c>
      <c r="CS17" s="4">
        <v>6</v>
      </c>
      <c r="CT17" s="4">
        <v>6</v>
      </c>
      <c r="CU17" s="4">
        <v>6</v>
      </c>
      <c r="CV17" s="4">
        <v>6</v>
      </c>
      <c r="CW17" s="4">
        <v>6</v>
      </c>
      <c r="CX17" s="4">
        <v>6</v>
      </c>
      <c r="CY17" s="4">
        <v>6</v>
      </c>
      <c r="CZ17" s="4">
        <v>6</v>
      </c>
      <c r="DA17" s="4">
        <v>6</v>
      </c>
      <c r="DB17" s="4">
        <v>6</v>
      </c>
      <c r="DC17" s="4">
        <v>6</v>
      </c>
      <c r="DD17" s="4">
        <v>6</v>
      </c>
      <c r="DE17" s="4">
        <v>6</v>
      </c>
      <c r="DF17" s="4">
        <v>6</v>
      </c>
      <c r="DG17" s="4">
        <v>6</v>
      </c>
      <c r="DH17" s="4">
        <v>6</v>
      </c>
      <c r="DI17" s="4">
        <v>6</v>
      </c>
      <c r="DJ17" s="4">
        <v>6</v>
      </c>
      <c r="DK17" s="4">
        <v>6</v>
      </c>
      <c r="DL17" s="4">
        <v>6</v>
      </c>
      <c r="DM17" s="4">
        <v>6</v>
      </c>
      <c r="DN17" s="4">
        <v>6</v>
      </c>
      <c r="DO17" s="4">
        <v>6</v>
      </c>
      <c r="DP17" s="4">
        <v>6</v>
      </c>
      <c r="DQ17" s="4">
        <v>6</v>
      </c>
      <c r="DR17" s="4">
        <v>6</v>
      </c>
      <c r="DS17" s="4">
        <v>6</v>
      </c>
      <c r="DT17" s="4">
        <v>6</v>
      </c>
      <c r="DU17" s="4">
        <v>6</v>
      </c>
      <c r="DV17" s="4">
        <v>6</v>
      </c>
      <c r="DW17" s="4">
        <v>6</v>
      </c>
      <c r="DX17" s="4">
        <v>6</v>
      </c>
      <c r="DY17" s="4">
        <v>6</v>
      </c>
      <c r="DZ17" s="4">
        <v>6</v>
      </c>
      <c r="EA17" s="4">
        <v>6</v>
      </c>
      <c r="EB17" s="4">
        <v>6</v>
      </c>
      <c r="EC17" s="4">
        <v>6</v>
      </c>
      <c r="ED17" s="4">
        <v>6</v>
      </c>
      <c r="EE17" s="4">
        <v>6</v>
      </c>
      <c r="EF17" s="4">
        <v>6</v>
      </c>
      <c r="EG17" s="4">
        <v>6</v>
      </c>
      <c r="EH17" s="4">
        <v>6</v>
      </c>
      <c r="EI17" s="4">
        <v>6</v>
      </c>
      <c r="EJ17" s="4">
        <v>6</v>
      </c>
      <c r="EK17" s="4">
        <v>6</v>
      </c>
      <c r="EL17" s="4">
        <v>6</v>
      </c>
      <c r="EM17" s="4">
        <v>6</v>
      </c>
      <c r="EN17" s="4">
        <v>6</v>
      </c>
      <c r="EO17" s="4">
        <v>6</v>
      </c>
      <c r="EP17" s="4">
        <v>6</v>
      </c>
      <c r="EQ17" s="4">
        <v>6</v>
      </c>
      <c r="ER17" s="4">
        <v>6</v>
      </c>
      <c r="ES17" s="4">
        <v>6</v>
      </c>
      <c r="ET17" s="4">
        <v>6</v>
      </c>
      <c r="EU17" s="4">
        <v>6</v>
      </c>
      <c r="EV17" s="4">
        <v>6</v>
      </c>
      <c r="EW17" s="4">
        <v>6</v>
      </c>
      <c r="EX17" s="4">
        <v>6</v>
      </c>
      <c r="EY17" s="4">
        <v>6</v>
      </c>
      <c r="EZ17" s="4">
        <v>6</v>
      </c>
      <c r="FA17" s="4">
        <v>6</v>
      </c>
      <c r="FB17" s="4">
        <v>6</v>
      </c>
      <c r="FC17" s="4">
        <v>6</v>
      </c>
      <c r="FD17" s="4">
        <v>6</v>
      </c>
      <c r="FE17" s="4">
        <v>6</v>
      </c>
      <c r="FF17" s="4">
        <v>6</v>
      </c>
      <c r="FG17" s="4">
        <v>6</v>
      </c>
      <c r="FH17" s="4">
        <v>6</v>
      </c>
      <c r="FI17" s="4">
        <v>6</v>
      </c>
      <c r="FJ17" s="4">
        <v>6</v>
      </c>
      <c r="FK17" s="4">
        <v>6</v>
      </c>
      <c r="FL17" s="4">
        <v>6</v>
      </c>
      <c r="FM17" s="4">
        <v>6</v>
      </c>
      <c r="FN17" s="4">
        <v>6</v>
      </c>
      <c r="FO17" s="4">
        <v>6</v>
      </c>
      <c r="FP17" s="4">
        <v>6</v>
      </c>
      <c r="FQ17" s="4">
        <v>6</v>
      </c>
      <c r="FR17" s="4">
        <v>6</v>
      </c>
      <c r="FS17" s="4">
        <v>6</v>
      </c>
      <c r="FT17" s="4">
        <v>6</v>
      </c>
      <c r="FU17" s="4">
        <v>6</v>
      </c>
      <c r="FV17" s="4">
        <v>6</v>
      </c>
      <c r="FW17" s="4">
        <v>6</v>
      </c>
      <c r="FX17" s="4">
        <v>6</v>
      </c>
      <c r="FY17" s="4">
        <v>6</v>
      </c>
      <c r="FZ17" s="4">
        <v>6</v>
      </c>
      <c r="GA17" s="4">
        <v>6</v>
      </c>
      <c r="GB17" s="4">
        <v>6</v>
      </c>
      <c r="GC17" s="4">
        <v>6</v>
      </c>
      <c r="GD17" s="4">
        <v>6</v>
      </c>
      <c r="GE17" s="4">
        <v>6</v>
      </c>
      <c r="GF17" s="4">
        <v>6</v>
      </c>
      <c r="GG17" s="4">
        <v>6</v>
      </c>
      <c r="GH17" s="4">
        <v>6</v>
      </c>
      <c r="GI17" s="4">
        <v>6</v>
      </c>
      <c r="GJ17" s="4">
        <v>6</v>
      </c>
      <c r="GK17" s="4">
        <v>6</v>
      </c>
      <c r="GL17" s="4">
        <v>6</v>
      </c>
      <c r="GM17" s="4">
        <v>6</v>
      </c>
      <c r="GN17" s="4">
        <v>6</v>
      </c>
      <c r="GO17" s="4">
        <v>6</v>
      </c>
      <c r="GP17" s="4">
        <v>6</v>
      </c>
      <c r="GQ17" s="4">
        <v>6</v>
      </c>
      <c r="GR17" s="4">
        <v>6</v>
      </c>
      <c r="GS17" s="4">
        <v>6</v>
      </c>
      <c r="GT17" s="4">
        <v>6</v>
      </c>
      <c r="GU17" s="4">
        <v>6</v>
      </c>
      <c r="GV17" s="4">
        <v>6</v>
      </c>
      <c r="GW17" s="4">
        <v>6</v>
      </c>
      <c r="GX17" s="4">
        <v>6</v>
      </c>
      <c r="GY17" s="4">
        <v>6</v>
      </c>
      <c r="GZ17" s="4">
        <v>6</v>
      </c>
      <c r="HA17" s="4">
        <v>6</v>
      </c>
      <c r="HB17" s="4">
        <v>6</v>
      </c>
      <c r="HC17" s="4">
        <v>6</v>
      </c>
      <c r="HD17" s="4">
        <v>6</v>
      </c>
      <c r="HE17" s="4">
        <v>6</v>
      </c>
      <c r="HF17" s="5">
        <v>6</v>
      </c>
      <c r="HG17" s="4">
        <v>6</v>
      </c>
      <c r="HH17" s="4">
        <v>6</v>
      </c>
      <c r="HI17" s="4">
        <v>6</v>
      </c>
      <c r="HJ17" s="4">
        <v>6</v>
      </c>
      <c r="HK17" s="2">
        <v>6</v>
      </c>
      <c r="HL17" s="2">
        <v>5</v>
      </c>
      <c r="HM17" s="2">
        <v>5</v>
      </c>
      <c r="HN17" s="4">
        <v>5</v>
      </c>
      <c r="HO17" s="2">
        <v>5</v>
      </c>
      <c r="HP17" s="2">
        <v>4</v>
      </c>
      <c r="HQ17" s="4">
        <v>4</v>
      </c>
      <c r="HR17" s="2">
        <v>4</v>
      </c>
      <c r="HS17" s="2">
        <v>4</v>
      </c>
      <c r="HT17" s="4">
        <v>4</v>
      </c>
      <c r="HU17" s="2">
        <v>4</v>
      </c>
      <c r="HV17" s="2">
        <v>4</v>
      </c>
      <c r="HW17" s="2">
        <v>2</v>
      </c>
      <c r="HX17" s="4">
        <v>2</v>
      </c>
      <c r="HY17" s="2">
        <v>1</v>
      </c>
      <c r="HZ17" s="2">
        <v>1</v>
      </c>
      <c r="IA17" s="2">
        <v>0</v>
      </c>
      <c r="IB17" s="2">
        <v>0</v>
      </c>
      <c r="IC17" s="2">
        <v>0</v>
      </c>
    </row>
    <row r="18" spans="1:237">
      <c r="A18" s="4" t="s">
        <v>18</v>
      </c>
      <c r="B18" s="4">
        <f t="shared" ref="B18:C18" si="0">SUM(B2:B17)</f>
        <v>992</v>
      </c>
      <c r="C18" s="4">
        <f t="shared" si="0"/>
        <v>992</v>
      </c>
      <c r="D18" s="4">
        <f t="shared" ref="D18:E18" si="1">SUM(D2:D17)</f>
        <v>992</v>
      </c>
      <c r="E18" s="4">
        <f t="shared" si="1"/>
        <v>992</v>
      </c>
      <c r="F18" s="4">
        <f t="shared" ref="F18:G18" si="2">SUM(F2:F17)</f>
        <v>992</v>
      </c>
      <c r="G18" s="4">
        <f t="shared" si="2"/>
        <v>992</v>
      </c>
      <c r="H18" s="4">
        <f t="shared" ref="H18:I18" si="3">SUM(H2:H17)</f>
        <v>992</v>
      </c>
      <c r="I18" s="4">
        <f t="shared" si="3"/>
        <v>992</v>
      </c>
      <c r="J18" s="4">
        <f t="shared" ref="J18" si="4">SUM(J2:J17)</f>
        <v>992</v>
      </c>
      <c r="K18" s="4">
        <f t="shared" ref="K18" si="5">SUM(K2:K17)</f>
        <v>992</v>
      </c>
      <c r="L18" s="4">
        <f t="shared" ref="L18:M18" si="6">SUM(L2:L17)</f>
        <v>992</v>
      </c>
      <c r="M18" s="4">
        <f t="shared" si="6"/>
        <v>992</v>
      </c>
      <c r="N18" s="4">
        <f t="shared" ref="N18:O18" si="7">SUM(N2:N17)</f>
        <v>992</v>
      </c>
      <c r="O18" s="4">
        <f t="shared" si="7"/>
        <v>992</v>
      </c>
      <c r="P18" s="4">
        <f t="shared" ref="P18:Q18" si="8">SUM(P2:P17)</f>
        <v>992</v>
      </c>
      <c r="Q18" s="4">
        <f t="shared" si="8"/>
        <v>992</v>
      </c>
      <c r="R18" s="4">
        <f t="shared" ref="R18:S18" si="9">SUM(R2:R17)</f>
        <v>992</v>
      </c>
      <c r="S18" s="4">
        <f t="shared" si="9"/>
        <v>992</v>
      </c>
      <c r="T18" s="4">
        <f t="shared" ref="T18:U18" si="10">SUM(T2:T17)</f>
        <v>992</v>
      </c>
      <c r="U18" s="4">
        <f t="shared" si="10"/>
        <v>992</v>
      </c>
      <c r="V18" s="4">
        <f t="shared" ref="V18:W18" si="11">SUM(V2:V17)</f>
        <v>992</v>
      </c>
      <c r="W18" s="4">
        <f t="shared" si="11"/>
        <v>992</v>
      </c>
      <c r="X18" s="4">
        <f t="shared" ref="X18:Y18" si="12">SUM(X2:X17)</f>
        <v>992</v>
      </c>
      <c r="Y18" s="4">
        <f t="shared" si="12"/>
        <v>992</v>
      </c>
      <c r="Z18" s="4">
        <f t="shared" ref="Z18:AA18" si="13">SUM(Z2:Z17)</f>
        <v>992</v>
      </c>
      <c r="AA18" s="4">
        <f t="shared" si="13"/>
        <v>992</v>
      </c>
      <c r="AB18" s="4">
        <f t="shared" ref="AB18:AC18" si="14">SUM(AB2:AB17)</f>
        <v>992</v>
      </c>
      <c r="AC18" s="4">
        <f t="shared" si="14"/>
        <v>992</v>
      </c>
      <c r="AD18" s="4">
        <f t="shared" ref="AD18:AE18" si="15">SUM(AD2:AD17)</f>
        <v>992</v>
      </c>
      <c r="AE18" s="4">
        <f t="shared" si="15"/>
        <v>992</v>
      </c>
      <c r="AF18" s="4">
        <f t="shared" ref="AF18:AG18" si="16">SUM(AF2:AF17)</f>
        <v>992</v>
      </c>
      <c r="AG18" s="4">
        <f t="shared" si="16"/>
        <v>992</v>
      </c>
      <c r="AH18" s="4">
        <f t="shared" ref="AH18:AI18" si="17">SUM(AH2:AH17)</f>
        <v>992</v>
      </c>
      <c r="AI18" s="4">
        <f t="shared" si="17"/>
        <v>992</v>
      </c>
      <c r="AJ18" s="4">
        <f t="shared" ref="AJ18:AK18" si="18">SUM(AJ2:AJ17)</f>
        <v>992</v>
      </c>
      <c r="AK18" s="4">
        <f t="shared" si="18"/>
        <v>992</v>
      </c>
      <c r="AL18" s="4">
        <f t="shared" ref="AL18" si="19">SUM(AL2:AL17)</f>
        <v>992</v>
      </c>
      <c r="AM18" s="4">
        <f t="shared" ref="AM18:AN18" si="20">SUM(AM2:AM17)</f>
        <v>992</v>
      </c>
      <c r="AN18" s="4">
        <f t="shared" si="20"/>
        <v>992</v>
      </c>
      <c r="AO18" s="4">
        <f t="shared" ref="AO18" si="21">SUM(AO2:AO17)</f>
        <v>992</v>
      </c>
      <c r="AP18" s="4">
        <f t="shared" ref="AP18" si="22">SUM(AP2:AP17)</f>
        <v>992</v>
      </c>
      <c r="AQ18" s="4">
        <f t="shared" ref="AQ18" si="23">SUM(AQ2:AQ17)</f>
        <v>992</v>
      </c>
      <c r="AR18" s="4">
        <f t="shared" ref="AR18:AS18" si="24">SUM(AR2:AR17)</f>
        <v>992</v>
      </c>
      <c r="AS18" s="4">
        <f t="shared" si="24"/>
        <v>992</v>
      </c>
      <c r="AT18" s="4">
        <f t="shared" ref="AT18:AU18" si="25">SUM(AT2:AT17)</f>
        <v>992</v>
      </c>
      <c r="AU18" s="4">
        <f t="shared" si="25"/>
        <v>992</v>
      </c>
      <c r="AV18" s="4">
        <f t="shared" ref="AV18:AW18" si="26">SUM(AV2:AV17)</f>
        <v>992</v>
      </c>
      <c r="AW18" s="4">
        <f t="shared" si="26"/>
        <v>992</v>
      </c>
      <c r="AX18" s="4">
        <f t="shared" ref="AX18:AY18" si="27">SUM(AX2:AX17)</f>
        <v>992</v>
      </c>
      <c r="AY18" s="4">
        <f t="shared" si="27"/>
        <v>992</v>
      </c>
      <c r="AZ18" s="4">
        <f t="shared" ref="AZ18:BA18" si="28">SUM(AZ2:AZ17)</f>
        <v>992</v>
      </c>
      <c r="BA18" s="4">
        <f t="shared" si="28"/>
        <v>992</v>
      </c>
      <c r="BB18" s="4">
        <f t="shared" ref="BB18:BC18" si="29">SUM(BB2:BB17)</f>
        <v>992</v>
      </c>
      <c r="BC18" s="4">
        <f t="shared" si="29"/>
        <v>992</v>
      </c>
      <c r="BD18" s="4">
        <f t="shared" ref="BD18:BE18" si="30">SUM(BD2:BD17)</f>
        <v>992</v>
      </c>
      <c r="BE18" s="4">
        <f t="shared" si="30"/>
        <v>992</v>
      </c>
      <c r="BF18" s="4">
        <f t="shared" ref="BF18:BG18" si="31">SUM(BF2:BF17)</f>
        <v>992</v>
      </c>
      <c r="BG18" s="4">
        <f t="shared" si="31"/>
        <v>992</v>
      </c>
      <c r="BH18" s="4">
        <f t="shared" ref="BH18:BI18" si="32">SUM(BH2:BH17)</f>
        <v>992</v>
      </c>
      <c r="BI18" s="4">
        <f t="shared" si="32"/>
        <v>992</v>
      </c>
      <c r="BJ18" s="4">
        <f t="shared" ref="BJ18:BK18" si="33">SUM(BJ2:BJ17)</f>
        <v>992</v>
      </c>
      <c r="BK18" s="4">
        <f t="shared" si="33"/>
        <v>992</v>
      </c>
      <c r="BL18" s="4">
        <f t="shared" ref="BL18:BM18" si="34">SUM(BL2:BL17)</f>
        <v>992</v>
      </c>
      <c r="BM18" s="4">
        <f t="shared" si="34"/>
        <v>992</v>
      </c>
      <c r="BN18" s="4">
        <f t="shared" ref="BN18:BO18" si="35">SUM(BN2:BN17)</f>
        <v>992</v>
      </c>
      <c r="BO18" s="4">
        <f t="shared" si="35"/>
        <v>992</v>
      </c>
      <c r="BP18" s="4">
        <f t="shared" ref="BP18:BQ18" si="36">SUM(BP2:BP17)</f>
        <v>992</v>
      </c>
      <c r="BQ18" s="4">
        <f t="shared" si="36"/>
        <v>992</v>
      </c>
      <c r="BR18" s="4">
        <f t="shared" ref="BR18:BS18" si="37">SUM(BR2:BR17)</f>
        <v>992</v>
      </c>
      <c r="BS18" s="4">
        <f t="shared" si="37"/>
        <v>992</v>
      </c>
      <c r="BT18" s="4">
        <f t="shared" ref="BT18:BU18" si="38">SUM(BT2:BT17)</f>
        <v>992</v>
      </c>
      <c r="BU18" s="4">
        <f t="shared" si="38"/>
        <v>992</v>
      </c>
      <c r="BV18" s="4">
        <f t="shared" ref="BV18:BW18" si="39">SUM(BV2:BV17)</f>
        <v>992</v>
      </c>
      <c r="BW18" s="4">
        <f t="shared" si="39"/>
        <v>992</v>
      </c>
      <c r="BX18" s="4">
        <f t="shared" ref="BX18:BY18" si="40">SUM(BX2:BX17)</f>
        <v>992</v>
      </c>
      <c r="BY18" s="4">
        <f t="shared" si="40"/>
        <v>992</v>
      </c>
      <c r="BZ18" s="4">
        <f t="shared" ref="BZ18:CA18" si="41">SUM(BZ2:BZ17)</f>
        <v>992</v>
      </c>
      <c r="CA18" s="4">
        <f t="shared" si="41"/>
        <v>992</v>
      </c>
      <c r="CB18" s="4">
        <f t="shared" ref="CB18:CC18" si="42">SUM(CB2:CB17)</f>
        <v>992</v>
      </c>
      <c r="CC18" s="4">
        <f t="shared" si="42"/>
        <v>992</v>
      </c>
      <c r="CD18" s="4">
        <f t="shared" ref="CD18:CE18" si="43">SUM(CD2:CD17)</f>
        <v>992</v>
      </c>
      <c r="CE18" s="4">
        <f t="shared" si="43"/>
        <v>992</v>
      </c>
      <c r="CF18" s="4">
        <f t="shared" ref="CF18:CG18" si="44">SUM(CF2:CF17)</f>
        <v>992</v>
      </c>
      <c r="CG18" s="4">
        <f t="shared" si="44"/>
        <v>992</v>
      </c>
      <c r="CH18" s="4">
        <f t="shared" ref="CH18:CI18" si="45">SUM(CH2:CH17)</f>
        <v>992</v>
      </c>
      <c r="CI18" s="4">
        <f t="shared" si="45"/>
        <v>992</v>
      </c>
      <c r="CJ18" s="4">
        <f t="shared" ref="CJ18" si="46">SUM(CJ2:CJ17)</f>
        <v>992</v>
      </c>
      <c r="CK18" s="4">
        <f t="shared" ref="CK18" si="47">SUM(CK2:CK17)</f>
        <v>992</v>
      </c>
      <c r="CL18" s="4">
        <f t="shared" ref="CL18:CM18" si="48">SUM(CL2:CL17)</f>
        <v>992</v>
      </c>
      <c r="CM18" s="4">
        <f t="shared" si="48"/>
        <v>992</v>
      </c>
      <c r="CN18" s="4">
        <f t="shared" ref="CN18:CO18" si="49">SUM(CN2:CN17)</f>
        <v>992</v>
      </c>
      <c r="CO18" s="4">
        <f t="shared" si="49"/>
        <v>992</v>
      </c>
      <c r="CP18" s="4">
        <f t="shared" ref="CP18" si="50">SUM(CP2:CP17)</f>
        <v>992</v>
      </c>
      <c r="CQ18" s="4">
        <f t="shared" ref="CQ18:CR18" si="51">SUM(CQ2:CQ17)</f>
        <v>992</v>
      </c>
      <c r="CR18" s="4">
        <f t="shared" si="51"/>
        <v>992</v>
      </c>
      <c r="CS18" s="4">
        <f t="shared" ref="CS18:CT18" si="52">SUM(CS2:CS17)</f>
        <v>992</v>
      </c>
      <c r="CT18" s="4">
        <f t="shared" si="52"/>
        <v>992</v>
      </c>
      <c r="CU18" s="4">
        <f t="shared" ref="CU18" si="53">SUM(CU2:CU17)</f>
        <v>992</v>
      </c>
      <c r="CV18" s="4">
        <f t="shared" ref="CV18:CW18" si="54">SUM(CV2:CV17)</f>
        <v>992</v>
      </c>
      <c r="CW18" s="4">
        <f t="shared" si="54"/>
        <v>992</v>
      </c>
      <c r="CX18" s="4">
        <f t="shared" ref="CX18:CY18" si="55">SUM(CX2:CX17)</f>
        <v>992</v>
      </c>
      <c r="CY18" s="4">
        <f t="shared" si="55"/>
        <v>992</v>
      </c>
      <c r="CZ18" s="4">
        <f t="shared" ref="CZ18:DA18" si="56">SUM(CZ2:CZ17)</f>
        <v>992</v>
      </c>
      <c r="DA18" s="4">
        <f t="shared" si="56"/>
        <v>992</v>
      </c>
      <c r="DB18" s="4">
        <f t="shared" ref="DB18:DC18" si="57">SUM(DB2:DB17)</f>
        <v>992</v>
      </c>
      <c r="DC18" s="4">
        <f t="shared" si="57"/>
        <v>992</v>
      </c>
      <c r="DD18" s="4">
        <f t="shared" ref="DD18:DE18" si="58">SUM(DD2:DD17)</f>
        <v>992</v>
      </c>
      <c r="DE18" s="4">
        <f t="shared" si="58"/>
        <v>992</v>
      </c>
      <c r="DF18" s="4">
        <f t="shared" ref="DF18" si="59">SUM(DF2:DF17)</f>
        <v>992</v>
      </c>
      <c r="DG18" s="4">
        <f t="shared" ref="DG18:DH18" si="60">SUM(DG2:DG17)</f>
        <v>992</v>
      </c>
      <c r="DH18" s="4">
        <f t="shared" si="60"/>
        <v>992</v>
      </c>
      <c r="DI18" s="4">
        <f t="shared" ref="DI18" si="61">SUM(DI2:DI17)</f>
        <v>992</v>
      </c>
      <c r="DJ18" s="4">
        <f t="shared" ref="DJ18:DK18" si="62">SUM(DJ2:DJ17)</f>
        <v>992</v>
      </c>
      <c r="DK18" s="4">
        <f t="shared" si="62"/>
        <v>992</v>
      </c>
      <c r="DL18" s="4">
        <f t="shared" ref="DL18:DM18" si="63">SUM(DL2:DL17)</f>
        <v>992</v>
      </c>
      <c r="DM18" s="4">
        <f t="shared" si="63"/>
        <v>992</v>
      </c>
      <c r="DN18" s="4">
        <f t="shared" ref="DN18" si="64">SUM(DN2:DN17)</f>
        <v>992</v>
      </c>
      <c r="DO18" s="4">
        <f t="shared" ref="DO18:DP18" si="65">SUM(DO2:DO17)</f>
        <v>992</v>
      </c>
      <c r="DP18" s="4">
        <f t="shared" si="65"/>
        <v>992</v>
      </c>
      <c r="DQ18" s="4">
        <f t="shared" ref="DQ18:DR18" si="66">SUM(DQ2:DQ17)</f>
        <v>992</v>
      </c>
      <c r="DR18" s="4">
        <f t="shared" si="66"/>
        <v>992</v>
      </c>
      <c r="DS18" s="4">
        <f t="shared" ref="DS18:DT18" si="67">SUM(DS2:DS17)</f>
        <v>992</v>
      </c>
      <c r="DT18" s="4">
        <f t="shared" si="67"/>
        <v>992</v>
      </c>
      <c r="DU18" s="4">
        <f t="shared" ref="DU18:DV18" si="68">SUM(DU2:DU17)</f>
        <v>992</v>
      </c>
      <c r="DV18" s="4">
        <f t="shared" si="68"/>
        <v>992</v>
      </c>
      <c r="DW18" s="4">
        <f t="shared" ref="DW18:DX18" si="69">SUM(DW2:DW17)</f>
        <v>992</v>
      </c>
      <c r="DX18" s="4">
        <f t="shared" si="69"/>
        <v>992</v>
      </c>
      <c r="DY18" s="4">
        <f t="shared" ref="DY18" si="70">SUM(DY2:DY17)</f>
        <v>992</v>
      </c>
      <c r="DZ18" s="4">
        <f t="shared" ref="DZ18:EA18" si="71">SUM(DZ2:DZ17)</f>
        <v>992</v>
      </c>
      <c r="EA18" s="4">
        <f t="shared" si="71"/>
        <v>992</v>
      </c>
      <c r="EB18" s="4">
        <f t="shared" ref="EB18:EC18" si="72">SUM(EB2:EB17)</f>
        <v>992</v>
      </c>
      <c r="EC18" s="4">
        <f t="shared" si="72"/>
        <v>992</v>
      </c>
      <c r="ED18" s="4">
        <f t="shared" ref="ED18:EE18" si="73">SUM(ED2:ED17)</f>
        <v>992</v>
      </c>
      <c r="EE18" s="4">
        <f t="shared" si="73"/>
        <v>992</v>
      </c>
      <c r="EF18" s="4">
        <f t="shared" ref="EF18:EG18" si="74">SUM(EF2:EF17)</f>
        <v>992</v>
      </c>
      <c r="EG18" s="4">
        <f t="shared" si="74"/>
        <v>992</v>
      </c>
      <c r="EH18" s="4">
        <f t="shared" ref="EH18:EI18" si="75">SUM(EH2:EH17)</f>
        <v>992</v>
      </c>
      <c r="EI18" s="4">
        <f t="shared" si="75"/>
        <v>992</v>
      </c>
      <c r="EJ18" s="4">
        <f t="shared" ref="EJ18:EK18" si="76">SUM(EJ2:EJ17)</f>
        <v>992</v>
      </c>
      <c r="EK18" s="4">
        <f t="shared" si="76"/>
        <v>992</v>
      </c>
      <c r="EL18" s="4">
        <f t="shared" ref="EL18:EM18" si="77">SUM(EL2:EL17)</f>
        <v>992</v>
      </c>
      <c r="EM18" s="4">
        <f t="shared" si="77"/>
        <v>992</v>
      </c>
      <c r="EN18" s="4">
        <f t="shared" ref="EN18:EO18" si="78">SUM(EN2:EN17)</f>
        <v>992</v>
      </c>
      <c r="EO18" s="4">
        <f t="shared" si="78"/>
        <v>992</v>
      </c>
      <c r="EP18" s="4">
        <f t="shared" ref="EP18:EQ18" si="79">SUM(EP2:EP17)</f>
        <v>992</v>
      </c>
      <c r="EQ18" s="4">
        <f t="shared" si="79"/>
        <v>992</v>
      </c>
      <c r="ER18" s="4">
        <f t="shared" ref="ER18:ES18" si="80">SUM(ER2:ER17)</f>
        <v>992</v>
      </c>
      <c r="ES18" s="4">
        <f t="shared" si="80"/>
        <v>992</v>
      </c>
      <c r="ET18" s="4">
        <f t="shared" ref="ET18:EU18" si="81">SUM(ET2:ET17)</f>
        <v>992</v>
      </c>
      <c r="EU18" s="4">
        <f t="shared" si="81"/>
        <v>992</v>
      </c>
      <c r="EV18" s="4">
        <f t="shared" ref="EV18:EW18" si="82">SUM(EV2:EV17)</f>
        <v>992</v>
      </c>
      <c r="EW18" s="4">
        <f t="shared" si="82"/>
        <v>992</v>
      </c>
      <c r="EX18" s="4">
        <f t="shared" ref="EX18:FD18" si="83">SUM(EX2:EX17)</f>
        <v>992</v>
      </c>
      <c r="EY18" s="4">
        <f t="shared" si="83"/>
        <v>992</v>
      </c>
      <c r="EZ18" s="4">
        <f t="shared" si="83"/>
        <v>992</v>
      </c>
      <c r="FA18" s="4">
        <f t="shared" si="83"/>
        <v>992</v>
      </c>
      <c r="FB18" s="4">
        <f t="shared" si="83"/>
        <v>992</v>
      </c>
      <c r="FC18" s="4">
        <f t="shared" si="83"/>
        <v>992</v>
      </c>
      <c r="FD18" s="4">
        <f t="shared" si="83"/>
        <v>992</v>
      </c>
      <c r="FE18" s="4">
        <f t="shared" ref="FE18:FF18" si="84">SUM(FE2:FE17)</f>
        <v>991</v>
      </c>
      <c r="FF18" s="4">
        <f t="shared" si="84"/>
        <v>991</v>
      </c>
      <c r="FG18" s="4">
        <f t="shared" ref="FG18:FH18" si="85">SUM(FG2:FG17)</f>
        <v>991</v>
      </c>
      <c r="FH18" s="4">
        <f t="shared" si="85"/>
        <v>991</v>
      </c>
      <c r="FI18" s="4">
        <f t="shared" ref="FI18:FJ18" si="86">SUM(FI2:FI17)</f>
        <v>991</v>
      </c>
      <c r="FJ18" s="4">
        <f t="shared" si="86"/>
        <v>991</v>
      </c>
      <c r="FK18" s="4">
        <f t="shared" ref="FK18:FL18" si="87">SUM(FK2:FK17)</f>
        <v>991</v>
      </c>
      <c r="FL18" s="4">
        <f t="shared" si="87"/>
        <v>991</v>
      </c>
      <c r="FM18" s="4">
        <f t="shared" ref="FM18:FN18" si="88">SUM(FM2:FM17)</f>
        <v>991</v>
      </c>
      <c r="FN18" s="4">
        <f t="shared" si="88"/>
        <v>991</v>
      </c>
      <c r="FO18" s="4">
        <f t="shared" ref="FO18:FP18" si="89">SUM(FO2:FO17)</f>
        <v>991</v>
      </c>
      <c r="FP18" s="4">
        <f t="shared" si="89"/>
        <v>991</v>
      </c>
      <c r="FQ18" s="4">
        <f t="shared" ref="FQ18:FR18" si="90">SUM(FQ2:FQ17)</f>
        <v>991</v>
      </c>
      <c r="FR18" s="4">
        <f t="shared" si="90"/>
        <v>991</v>
      </c>
      <c r="FS18" s="4">
        <f t="shared" ref="FS18:FZ18" si="91">SUM(FS2:FS17)</f>
        <v>991</v>
      </c>
      <c r="FT18" s="4">
        <f t="shared" si="91"/>
        <v>991</v>
      </c>
      <c r="FU18" s="4">
        <f t="shared" si="91"/>
        <v>991</v>
      </c>
      <c r="FV18" s="4">
        <f t="shared" si="91"/>
        <v>991</v>
      </c>
      <c r="FW18" s="4">
        <f t="shared" si="91"/>
        <v>991</v>
      </c>
      <c r="FX18" s="4">
        <f t="shared" si="91"/>
        <v>991</v>
      </c>
      <c r="FY18" s="4">
        <f t="shared" si="91"/>
        <v>991</v>
      </c>
      <c r="FZ18" s="4">
        <f t="shared" si="91"/>
        <v>991</v>
      </c>
      <c r="GA18" s="4">
        <f t="shared" ref="GA18:GG18" si="92">SUM(GA2:GA17)</f>
        <v>991</v>
      </c>
      <c r="GB18" s="4">
        <f t="shared" si="92"/>
        <v>991</v>
      </c>
      <c r="GC18" s="4">
        <f t="shared" si="92"/>
        <v>991</v>
      </c>
      <c r="GD18" s="4">
        <f t="shared" si="92"/>
        <v>991</v>
      </c>
      <c r="GE18" s="4">
        <f t="shared" si="92"/>
        <v>991</v>
      </c>
      <c r="GF18" s="4">
        <f t="shared" si="92"/>
        <v>991</v>
      </c>
      <c r="GG18" s="4">
        <f t="shared" si="92"/>
        <v>991</v>
      </c>
      <c r="GH18" s="4">
        <f t="shared" ref="GH18:GN18" si="93">SUM(GH2:GH17)</f>
        <v>991</v>
      </c>
      <c r="GI18" s="4">
        <f t="shared" si="93"/>
        <v>991</v>
      </c>
      <c r="GJ18" s="4">
        <f t="shared" si="93"/>
        <v>991</v>
      </c>
      <c r="GK18" s="4">
        <f t="shared" si="93"/>
        <v>991</v>
      </c>
      <c r="GL18" s="4">
        <f t="shared" si="93"/>
        <v>991</v>
      </c>
      <c r="GM18" s="4">
        <f t="shared" si="93"/>
        <v>991</v>
      </c>
      <c r="GN18" s="4">
        <f t="shared" si="93"/>
        <v>991</v>
      </c>
      <c r="GO18" s="4">
        <f t="shared" ref="GO18:GT18" si="94">SUM(GO2:GO17)</f>
        <v>991</v>
      </c>
      <c r="GP18" s="4">
        <f t="shared" si="94"/>
        <v>991</v>
      </c>
      <c r="GQ18" s="4">
        <f t="shared" si="94"/>
        <v>990</v>
      </c>
      <c r="GR18" s="4">
        <f t="shared" si="94"/>
        <v>990</v>
      </c>
      <c r="GS18" s="4">
        <f t="shared" si="94"/>
        <v>990</v>
      </c>
      <c r="GT18" s="4">
        <f t="shared" si="94"/>
        <v>989</v>
      </c>
      <c r="GU18" s="4">
        <f t="shared" ref="GU18:GZ18" si="95">SUM(GU2:GU17)</f>
        <v>989</v>
      </c>
      <c r="GV18" s="4">
        <f t="shared" si="95"/>
        <v>989</v>
      </c>
      <c r="GW18" s="4">
        <f t="shared" si="95"/>
        <v>989</v>
      </c>
      <c r="GX18" s="4">
        <f t="shared" si="95"/>
        <v>989</v>
      </c>
      <c r="GY18" s="4">
        <f t="shared" si="95"/>
        <v>989</v>
      </c>
      <c r="GZ18" s="4">
        <f t="shared" si="95"/>
        <v>988</v>
      </c>
      <c r="HA18" s="4">
        <f t="shared" ref="HA18:HF18" si="96">SUM(HA2:HA17)</f>
        <v>987</v>
      </c>
      <c r="HB18" s="4">
        <f t="shared" si="96"/>
        <v>986</v>
      </c>
      <c r="HC18" s="4">
        <f t="shared" si="96"/>
        <v>982</v>
      </c>
      <c r="HD18" s="4">
        <f t="shared" si="96"/>
        <v>973</v>
      </c>
      <c r="HE18" s="4">
        <f t="shared" si="96"/>
        <v>962</v>
      </c>
      <c r="HF18" s="4">
        <f t="shared" si="96"/>
        <v>950</v>
      </c>
      <c r="HG18" s="4">
        <f t="shared" ref="HG18:HL18" si="97">SUM(HG2:HG17)</f>
        <v>934</v>
      </c>
      <c r="HH18" s="4">
        <f t="shared" si="97"/>
        <v>910</v>
      </c>
      <c r="HI18" s="4">
        <f t="shared" si="97"/>
        <v>889</v>
      </c>
      <c r="HJ18" s="2">
        <f t="shared" si="97"/>
        <v>860</v>
      </c>
      <c r="HK18" s="2">
        <f t="shared" si="97"/>
        <v>830</v>
      </c>
      <c r="HL18" s="2">
        <f t="shared" si="97"/>
        <v>779</v>
      </c>
      <c r="HM18" s="2">
        <f t="shared" ref="HM18:HV18" si="98">SUM(HM2:HM17)</f>
        <v>733</v>
      </c>
      <c r="HN18" s="2">
        <f t="shared" si="98"/>
        <v>665</v>
      </c>
      <c r="HO18" s="2">
        <f t="shared" si="98"/>
        <v>591</v>
      </c>
      <c r="HP18" s="2">
        <f t="shared" si="98"/>
        <v>530</v>
      </c>
      <c r="HQ18" s="2">
        <f t="shared" si="98"/>
        <v>480</v>
      </c>
      <c r="HR18" s="2">
        <f t="shared" si="98"/>
        <v>408</v>
      </c>
      <c r="HS18" s="2">
        <f t="shared" si="98"/>
        <v>340</v>
      </c>
      <c r="HT18" s="2">
        <f t="shared" si="98"/>
        <v>297</v>
      </c>
      <c r="HU18" s="2">
        <f t="shared" si="98"/>
        <v>237</v>
      </c>
      <c r="HV18" s="2">
        <f t="shared" si="98"/>
        <v>200</v>
      </c>
      <c r="HW18" s="2">
        <v>152</v>
      </c>
      <c r="HX18" s="2">
        <v>106</v>
      </c>
      <c r="HY18" s="2">
        <v>70</v>
      </c>
      <c r="HZ18" s="2">
        <v>60</v>
      </c>
      <c r="IA18" s="2">
        <v>39</v>
      </c>
      <c r="IB18" s="2">
        <v>15</v>
      </c>
      <c r="IC18" s="2">
        <v>9</v>
      </c>
    </row>
    <row r="19" spans="1:237">
      <c r="A19" s="4" t="s">
        <v>70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3</v>
      </c>
      <c r="GJ19" s="4">
        <v>2</v>
      </c>
      <c r="GK19" s="4">
        <v>9</v>
      </c>
      <c r="GL19" s="4">
        <v>14</v>
      </c>
      <c r="GM19" s="4">
        <v>15</v>
      </c>
      <c r="GN19" s="4">
        <v>24</v>
      </c>
      <c r="GO19" s="4">
        <v>29</v>
      </c>
      <c r="GP19" s="4">
        <v>20</v>
      </c>
      <c r="GQ19" s="4">
        <v>26</v>
      </c>
      <c r="GR19" s="4">
        <v>28</v>
      </c>
      <c r="GS19" s="4">
        <v>50</v>
      </c>
      <c r="GT19" s="4">
        <v>37</v>
      </c>
      <c r="GU19" s="4">
        <v>35</v>
      </c>
      <c r="GV19" s="4">
        <v>44</v>
      </c>
      <c r="GW19" s="4">
        <v>28</v>
      </c>
      <c r="GX19" s="4">
        <v>53</v>
      </c>
      <c r="GY19" s="4">
        <v>67</v>
      </c>
      <c r="GZ19" s="4">
        <v>76</v>
      </c>
      <c r="HA19" s="4">
        <v>63</v>
      </c>
      <c r="HB19" s="4">
        <v>68</v>
      </c>
      <c r="HC19" s="4">
        <v>27</v>
      </c>
      <c r="HD19" s="4">
        <v>34</v>
      </c>
      <c r="HE19" s="4">
        <v>34</v>
      </c>
      <c r="HF19" s="4">
        <v>32</v>
      </c>
      <c r="HG19" s="4">
        <v>38</v>
      </c>
      <c r="HH19" s="4">
        <v>20</v>
      </c>
      <c r="HI19" s="4">
        <v>20</v>
      </c>
      <c r="HJ19" s="2">
        <v>15</v>
      </c>
      <c r="HK19" s="2">
        <v>14</v>
      </c>
      <c r="HL19" s="2">
        <v>12</v>
      </c>
      <c r="HM19" s="2">
        <v>13</v>
      </c>
      <c r="HN19" s="4">
        <v>11</v>
      </c>
      <c r="HO19" s="4">
        <v>3</v>
      </c>
      <c r="HP19" s="4">
        <v>6</v>
      </c>
      <c r="HQ19" s="4">
        <v>7</v>
      </c>
      <c r="HR19" s="4">
        <v>2</v>
      </c>
      <c r="HS19" s="4">
        <v>2</v>
      </c>
      <c r="HT19" s="4">
        <v>0</v>
      </c>
      <c r="HU19" s="4">
        <v>1</v>
      </c>
      <c r="HV19" s="4">
        <v>2</v>
      </c>
      <c r="HW19" s="4">
        <v>0</v>
      </c>
      <c r="HX19" s="4">
        <v>0</v>
      </c>
      <c r="HY19" s="4">
        <v>0</v>
      </c>
      <c r="HZ19" s="4">
        <v>0</v>
      </c>
      <c r="IA19" s="4">
        <v>0</v>
      </c>
      <c r="IB19" s="4">
        <v>0</v>
      </c>
      <c r="IC19" s="4">
        <v>0</v>
      </c>
    </row>
    <row r="20" spans="1:237">
      <c r="A20" s="4" t="s">
        <v>16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1</v>
      </c>
      <c r="HA20" s="4">
        <v>0</v>
      </c>
      <c r="HB20" s="4">
        <v>0</v>
      </c>
      <c r="HC20" s="4">
        <v>7</v>
      </c>
      <c r="HD20" s="4">
        <v>9</v>
      </c>
      <c r="HE20" s="4">
        <v>6</v>
      </c>
      <c r="HF20" s="4">
        <v>13</v>
      </c>
      <c r="HG20" s="4">
        <v>16</v>
      </c>
      <c r="HH20" s="2">
        <v>38</v>
      </c>
      <c r="HI20" s="2">
        <v>39</v>
      </c>
      <c r="HJ20" s="2">
        <v>33</v>
      </c>
      <c r="HK20" s="2">
        <v>61</v>
      </c>
      <c r="HL20" s="2">
        <v>48</v>
      </c>
      <c r="HM20" s="4">
        <v>70</v>
      </c>
      <c r="HN20" s="2">
        <v>78</v>
      </c>
      <c r="HO20" s="4">
        <v>84</v>
      </c>
      <c r="HP20" s="4">
        <v>63</v>
      </c>
      <c r="HQ20" s="4">
        <v>57</v>
      </c>
      <c r="HR20" s="4">
        <v>75</v>
      </c>
      <c r="HS20" s="4">
        <v>82</v>
      </c>
      <c r="HT20" s="4">
        <v>77</v>
      </c>
      <c r="HU20" s="4">
        <v>70</v>
      </c>
      <c r="HV20" s="4">
        <v>45</v>
      </c>
      <c r="HW20" s="4">
        <v>42</v>
      </c>
      <c r="HX20" s="4">
        <v>38</v>
      </c>
      <c r="HY20" s="4">
        <v>36</v>
      </c>
      <c r="HZ20" s="4">
        <v>15</v>
      </c>
      <c r="IA20" s="4">
        <v>26</v>
      </c>
      <c r="IB20" s="4">
        <v>0</v>
      </c>
      <c r="IC20" s="4">
        <v>0</v>
      </c>
    </row>
    <row r="21" spans="1:237">
      <c r="A21" s="4" t="s">
        <v>17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1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1</v>
      </c>
      <c r="GQ21" s="4">
        <v>0</v>
      </c>
      <c r="GR21" s="4">
        <v>0</v>
      </c>
      <c r="GS21" s="4">
        <v>1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1</v>
      </c>
      <c r="GZ21" s="4">
        <v>1</v>
      </c>
      <c r="HA21" s="4">
        <v>1</v>
      </c>
      <c r="HB21" s="4">
        <v>4</v>
      </c>
      <c r="HC21" s="4">
        <v>9</v>
      </c>
      <c r="HD21" s="4">
        <v>11</v>
      </c>
      <c r="HE21" s="4">
        <v>12</v>
      </c>
      <c r="HF21" s="4">
        <v>16</v>
      </c>
      <c r="HG21" s="4">
        <v>24</v>
      </c>
      <c r="HH21" s="2">
        <v>22</v>
      </c>
      <c r="HI21" s="2">
        <v>29</v>
      </c>
      <c r="HJ21" s="2">
        <v>30</v>
      </c>
      <c r="HK21" s="2">
        <v>51</v>
      </c>
      <c r="HL21" s="2">
        <v>46</v>
      </c>
      <c r="HM21" s="2">
        <v>68</v>
      </c>
      <c r="HN21" s="4">
        <v>74</v>
      </c>
      <c r="HO21" s="4">
        <v>61</v>
      </c>
      <c r="HP21" s="4">
        <v>50</v>
      </c>
      <c r="HQ21" s="4">
        <v>72</v>
      </c>
      <c r="HR21" s="4">
        <v>68</v>
      </c>
      <c r="HS21" s="4">
        <v>43</v>
      </c>
      <c r="HT21" s="4">
        <v>60</v>
      </c>
      <c r="HU21" s="4">
        <v>37</v>
      </c>
      <c r="HV21" s="4">
        <v>48</v>
      </c>
      <c r="HW21" s="4">
        <v>46</v>
      </c>
      <c r="HX21" s="4">
        <v>36</v>
      </c>
      <c r="HY21" s="4">
        <v>10</v>
      </c>
      <c r="HZ21" s="4">
        <v>21</v>
      </c>
      <c r="IA21" s="4">
        <v>24</v>
      </c>
      <c r="IB21" s="4">
        <v>6</v>
      </c>
      <c r="IC21" s="4">
        <v>8</v>
      </c>
    </row>
    <row r="22" spans="1:237">
      <c r="A22" s="4" t="s">
        <v>89</v>
      </c>
      <c r="B22" s="4">
        <v>29760</v>
      </c>
      <c r="C22" s="4">
        <v>29751</v>
      </c>
      <c r="D22" s="4">
        <v>29741</v>
      </c>
      <c r="E22" s="4">
        <v>29741</v>
      </c>
      <c r="F22" s="4">
        <v>29740</v>
      </c>
      <c r="G22" s="4">
        <v>29636</v>
      </c>
      <c r="H22" s="4">
        <v>29636</v>
      </c>
      <c r="I22" s="4">
        <v>29636</v>
      </c>
      <c r="J22" s="4">
        <v>29635</v>
      </c>
      <c r="K22" s="4">
        <v>29635</v>
      </c>
      <c r="L22" s="4">
        <v>29635</v>
      </c>
      <c r="M22" s="4">
        <v>29635</v>
      </c>
      <c r="N22" s="4">
        <v>29635</v>
      </c>
      <c r="O22" s="4">
        <v>29635</v>
      </c>
      <c r="P22" s="4">
        <v>29635</v>
      </c>
      <c r="Q22" s="4">
        <v>29635</v>
      </c>
      <c r="R22" s="4">
        <v>29635</v>
      </c>
      <c r="S22" s="4">
        <v>29635</v>
      </c>
      <c r="T22" s="4">
        <v>29635</v>
      </c>
      <c r="U22" s="4">
        <v>29635</v>
      </c>
      <c r="V22" s="4">
        <v>29635</v>
      </c>
      <c r="W22" s="4">
        <v>29635</v>
      </c>
      <c r="X22" s="4">
        <v>29634</v>
      </c>
      <c r="Y22" s="4">
        <v>29634</v>
      </c>
      <c r="Z22" s="4">
        <v>29622</v>
      </c>
      <c r="AA22" s="4">
        <v>29622</v>
      </c>
      <c r="AB22" s="4">
        <v>29580</v>
      </c>
      <c r="AC22" s="4">
        <v>29580</v>
      </c>
      <c r="AD22" s="4">
        <v>29580</v>
      </c>
      <c r="AE22" s="4">
        <v>29580</v>
      </c>
      <c r="AF22" s="4">
        <v>29580</v>
      </c>
      <c r="AG22" s="4">
        <v>29506</v>
      </c>
      <c r="AH22" s="4">
        <v>29505</v>
      </c>
      <c r="AI22" s="4">
        <v>29505</v>
      </c>
      <c r="AJ22" s="4">
        <v>29505</v>
      </c>
      <c r="AK22" s="4">
        <v>29494</v>
      </c>
      <c r="AL22" s="4">
        <v>29494</v>
      </c>
      <c r="AM22" s="4">
        <v>29494</v>
      </c>
      <c r="AN22" s="4">
        <v>29492</v>
      </c>
      <c r="AO22" s="4">
        <v>29492</v>
      </c>
      <c r="AP22" s="4">
        <v>29492</v>
      </c>
      <c r="AQ22" s="4">
        <v>29492</v>
      </c>
      <c r="AR22" s="4">
        <v>29492</v>
      </c>
      <c r="AS22" s="4">
        <v>29492</v>
      </c>
      <c r="AT22" s="4">
        <v>29492</v>
      </c>
      <c r="AU22" s="4">
        <v>29492</v>
      </c>
      <c r="AV22" s="4">
        <v>29492</v>
      </c>
      <c r="AW22" s="4">
        <v>29492</v>
      </c>
      <c r="AX22" s="4">
        <v>29492</v>
      </c>
      <c r="AY22" s="4">
        <v>29492</v>
      </c>
      <c r="AZ22" s="4">
        <v>29490</v>
      </c>
      <c r="BA22" s="4">
        <v>29490</v>
      </c>
      <c r="BB22" s="4">
        <v>29490</v>
      </c>
      <c r="BC22" s="4">
        <v>29490</v>
      </c>
      <c r="BD22" s="4">
        <v>29490</v>
      </c>
      <c r="BE22" s="4">
        <v>29490</v>
      </c>
      <c r="BF22" s="4">
        <v>29490</v>
      </c>
      <c r="BG22" s="4">
        <v>29490</v>
      </c>
      <c r="BH22" s="4">
        <v>29485</v>
      </c>
      <c r="BI22" s="4">
        <v>29485</v>
      </c>
      <c r="BJ22" s="4">
        <v>29485</v>
      </c>
      <c r="BK22" s="4">
        <v>29485</v>
      </c>
      <c r="BL22" s="4">
        <v>29485</v>
      </c>
      <c r="BM22" s="4">
        <v>29485</v>
      </c>
      <c r="BN22" s="4">
        <v>29485</v>
      </c>
      <c r="BO22" s="4">
        <v>29485</v>
      </c>
      <c r="BP22" s="4">
        <v>29409</v>
      </c>
      <c r="BQ22" s="4">
        <v>29409</v>
      </c>
      <c r="BR22" s="4">
        <v>29409</v>
      </c>
      <c r="BS22" s="4">
        <v>29409</v>
      </c>
      <c r="BT22" s="4">
        <v>29407</v>
      </c>
      <c r="BU22" s="4">
        <v>29407</v>
      </c>
      <c r="BV22" s="4">
        <v>29407</v>
      </c>
      <c r="BW22" s="4">
        <v>29407</v>
      </c>
      <c r="BX22" s="4">
        <v>29406</v>
      </c>
      <c r="BY22" s="4">
        <v>29406</v>
      </c>
      <c r="BZ22" s="4">
        <v>29406</v>
      </c>
      <c r="CA22" s="4">
        <v>29406</v>
      </c>
      <c r="CB22" s="4">
        <v>29406</v>
      </c>
      <c r="CC22" s="4">
        <v>29406</v>
      </c>
      <c r="CD22" s="4">
        <v>29406</v>
      </c>
      <c r="CE22" s="4">
        <v>29406</v>
      </c>
      <c r="CF22" s="4">
        <v>29406</v>
      </c>
      <c r="CG22" s="4">
        <v>29406</v>
      </c>
      <c r="CH22" s="4">
        <v>29406</v>
      </c>
      <c r="CI22" s="4">
        <v>29406</v>
      </c>
      <c r="CJ22" s="4">
        <v>29406</v>
      </c>
      <c r="CK22" s="4">
        <v>29406</v>
      </c>
      <c r="CL22" s="4">
        <v>29399</v>
      </c>
      <c r="CM22" s="4">
        <v>29390</v>
      </c>
      <c r="CN22" s="4">
        <v>29390</v>
      </c>
      <c r="CO22" s="4">
        <v>29390</v>
      </c>
      <c r="CP22" s="4">
        <v>29389</v>
      </c>
      <c r="CQ22" s="4">
        <v>29386</v>
      </c>
      <c r="CR22" s="4">
        <v>29386</v>
      </c>
      <c r="CS22" s="4">
        <v>29386</v>
      </c>
      <c r="CT22" s="4">
        <v>29385</v>
      </c>
      <c r="CU22" s="4">
        <v>29383</v>
      </c>
      <c r="CV22" s="4">
        <v>29349</v>
      </c>
      <c r="CW22" s="4">
        <v>29349</v>
      </c>
      <c r="CX22" s="4">
        <v>29346</v>
      </c>
      <c r="CY22" s="4">
        <v>29325</v>
      </c>
      <c r="CZ22" s="4">
        <v>29324</v>
      </c>
      <c r="DA22" s="4">
        <v>29324</v>
      </c>
      <c r="DB22" s="4">
        <v>29324</v>
      </c>
      <c r="DC22" s="4">
        <v>29324</v>
      </c>
      <c r="DD22" s="4">
        <v>29323</v>
      </c>
      <c r="DE22" s="4">
        <v>29323</v>
      </c>
      <c r="DF22" s="4">
        <v>29318</v>
      </c>
      <c r="DG22" s="4">
        <v>29306</v>
      </c>
      <c r="DH22" s="4">
        <v>29287</v>
      </c>
      <c r="DI22" s="4">
        <v>29287</v>
      </c>
      <c r="DJ22" s="4">
        <v>29286</v>
      </c>
      <c r="DK22" s="4">
        <v>29286</v>
      </c>
      <c r="DL22" s="4">
        <v>29286</v>
      </c>
      <c r="DM22" s="4">
        <v>29286</v>
      </c>
      <c r="DN22" s="4">
        <v>29275</v>
      </c>
      <c r="DO22" s="4">
        <v>29274</v>
      </c>
      <c r="DP22" s="4">
        <v>29269</v>
      </c>
      <c r="DQ22" s="4">
        <v>29265</v>
      </c>
      <c r="DR22" s="4">
        <v>29261</v>
      </c>
      <c r="DS22" s="4">
        <v>29260</v>
      </c>
      <c r="DT22" s="4">
        <v>29259</v>
      </c>
      <c r="DU22" s="4">
        <v>29259</v>
      </c>
      <c r="DV22" s="4">
        <v>29259</v>
      </c>
      <c r="DW22" s="4">
        <v>29259</v>
      </c>
      <c r="DX22" s="4">
        <v>29259</v>
      </c>
      <c r="DY22" s="4">
        <v>29259</v>
      </c>
      <c r="DZ22" s="4">
        <v>29257</v>
      </c>
      <c r="EA22" s="4">
        <v>29255</v>
      </c>
      <c r="EB22" s="4">
        <v>29254</v>
      </c>
      <c r="EC22" s="4">
        <v>29254</v>
      </c>
      <c r="ED22" s="4">
        <v>29254</v>
      </c>
      <c r="EE22" s="4">
        <v>29254</v>
      </c>
      <c r="EF22" s="4">
        <v>29253</v>
      </c>
      <c r="EG22" s="4">
        <v>29252</v>
      </c>
      <c r="EH22" s="4">
        <v>29245</v>
      </c>
      <c r="EI22" s="4">
        <v>29235</v>
      </c>
      <c r="EJ22" s="4">
        <v>29235</v>
      </c>
      <c r="EK22" s="4">
        <v>29235</v>
      </c>
      <c r="EL22" s="4">
        <v>29230</v>
      </c>
      <c r="EM22" s="4">
        <v>29230</v>
      </c>
      <c r="EN22" s="4">
        <v>29229</v>
      </c>
      <c r="EO22" s="4">
        <v>29229</v>
      </c>
      <c r="EP22" s="4">
        <v>29226</v>
      </c>
      <c r="EQ22" s="4">
        <v>29220</v>
      </c>
      <c r="ER22" s="4">
        <v>29219</v>
      </c>
      <c r="ES22" s="4">
        <v>29214</v>
      </c>
      <c r="ET22" s="4">
        <v>29209</v>
      </c>
      <c r="EU22" s="4">
        <v>29203</v>
      </c>
      <c r="EV22" s="4">
        <v>29202</v>
      </c>
      <c r="EW22" s="4">
        <v>29202</v>
      </c>
      <c r="EX22" s="4">
        <v>29189</v>
      </c>
      <c r="EY22" s="4">
        <v>29150</v>
      </c>
      <c r="EZ22" s="4">
        <v>29143</v>
      </c>
      <c r="FA22" s="4">
        <v>29140</v>
      </c>
      <c r="FB22" s="4">
        <v>29139</v>
      </c>
      <c r="FC22" s="4">
        <v>29129</v>
      </c>
      <c r="FD22" s="4">
        <v>29110</v>
      </c>
      <c r="FE22" s="4">
        <v>29076</v>
      </c>
      <c r="FF22" s="4">
        <v>29069</v>
      </c>
      <c r="FG22" s="4">
        <v>29065</v>
      </c>
      <c r="FH22" s="4">
        <v>29059</v>
      </c>
      <c r="FI22" s="4">
        <v>29057</v>
      </c>
      <c r="FJ22" s="4">
        <v>29042</v>
      </c>
      <c r="FK22" s="4">
        <v>29026</v>
      </c>
      <c r="FL22" s="4">
        <v>28981</v>
      </c>
      <c r="FM22" s="4">
        <v>28931</v>
      </c>
      <c r="FN22" s="4">
        <v>28912</v>
      </c>
      <c r="FO22" s="4">
        <v>28900</v>
      </c>
      <c r="FP22" s="4">
        <v>28863</v>
      </c>
      <c r="FQ22" s="4">
        <v>28827</v>
      </c>
      <c r="FR22" s="4">
        <v>28732</v>
      </c>
      <c r="FS22" s="4">
        <v>28710</v>
      </c>
      <c r="FT22" s="4">
        <v>28693</v>
      </c>
      <c r="FU22" s="4">
        <v>28689</v>
      </c>
      <c r="FV22" s="4">
        <v>28670</v>
      </c>
      <c r="FW22" s="4">
        <v>28625</v>
      </c>
      <c r="FX22" s="4">
        <v>28605</v>
      </c>
      <c r="FY22" s="4">
        <v>28580</v>
      </c>
      <c r="FZ22" s="4">
        <v>28567</v>
      </c>
      <c r="GA22" s="4">
        <v>28555</v>
      </c>
      <c r="GB22" s="4">
        <v>28552</v>
      </c>
      <c r="GC22" s="4">
        <v>28544</v>
      </c>
      <c r="GD22" s="4">
        <v>28543</v>
      </c>
      <c r="GE22" s="4">
        <v>28537</v>
      </c>
      <c r="GF22" s="4">
        <v>28506</v>
      </c>
      <c r="GG22" s="4">
        <v>28485</v>
      </c>
      <c r="GH22" s="4">
        <v>28485</v>
      </c>
      <c r="GI22" s="4">
        <v>28475</v>
      </c>
      <c r="GJ22" s="4">
        <v>28453</v>
      </c>
      <c r="GK22" s="4">
        <v>28424</v>
      </c>
      <c r="GL22" s="4">
        <v>28383</v>
      </c>
      <c r="GM22" s="4">
        <v>28363</v>
      </c>
      <c r="GN22" s="4">
        <v>28299</v>
      </c>
      <c r="GO22" s="4">
        <v>28235</v>
      </c>
      <c r="GP22" s="4">
        <v>28035</v>
      </c>
      <c r="GQ22" s="4">
        <v>28008</v>
      </c>
      <c r="GR22" s="4">
        <v>28000</v>
      </c>
      <c r="GS22" s="4">
        <v>27967</v>
      </c>
      <c r="GT22" s="4">
        <v>27905</v>
      </c>
      <c r="GU22" s="4">
        <v>27823</v>
      </c>
      <c r="GV22" s="4">
        <v>27696</v>
      </c>
      <c r="GW22" s="4">
        <v>27526</v>
      </c>
      <c r="GX22" s="4">
        <v>27093</v>
      </c>
      <c r="GY22" s="4">
        <v>26781</v>
      </c>
      <c r="GZ22" s="4">
        <v>25909</v>
      </c>
      <c r="HA22" s="4">
        <v>25646</v>
      </c>
      <c r="HB22" s="4">
        <v>24600</v>
      </c>
      <c r="HC22" s="4">
        <v>23670</v>
      </c>
      <c r="HD22" s="4">
        <v>22820</v>
      </c>
      <c r="HE22" s="4">
        <v>21796</v>
      </c>
      <c r="HF22" s="4">
        <v>20646</v>
      </c>
      <c r="HG22" s="4">
        <v>20229</v>
      </c>
      <c r="HH22" s="4">
        <v>19784</v>
      </c>
      <c r="HI22" s="4">
        <v>19276</v>
      </c>
      <c r="HJ22" s="2">
        <v>18667</v>
      </c>
      <c r="HK22" s="2">
        <v>17384</v>
      </c>
      <c r="HL22" s="2">
        <v>16532</v>
      </c>
      <c r="HM22" s="2">
        <v>15611</v>
      </c>
      <c r="HN22" s="2">
        <v>14235</v>
      </c>
      <c r="HO22" s="4">
        <v>12753</v>
      </c>
      <c r="HP22" s="4">
        <v>11604</v>
      </c>
      <c r="HQ22" s="4">
        <v>10099</v>
      </c>
      <c r="HR22" s="4">
        <v>8975</v>
      </c>
      <c r="HS22" s="4">
        <v>7481</v>
      </c>
      <c r="HT22" s="4">
        <v>5967</v>
      </c>
      <c r="HU22" s="4">
        <v>4997</v>
      </c>
      <c r="HV22" s="4">
        <v>3638</v>
      </c>
      <c r="HW22" s="4">
        <v>2884</v>
      </c>
      <c r="HX22" s="4">
        <v>1719</v>
      </c>
      <c r="HY22" s="4">
        <v>1521</v>
      </c>
      <c r="HZ22" s="4">
        <v>1023</v>
      </c>
      <c r="IA22" s="4">
        <v>664</v>
      </c>
      <c r="IB22" s="4">
        <v>310</v>
      </c>
      <c r="IC22" s="4">
        <v>108</v>
      </c>
    </row>
    <row r="23" spans="1:237">
      <c r="A23" s="4" t="s">
        <v>81</v>
      </c>
      <c r="B23" s="4">
        <v>124</v>
      </c>
      <c r="C23" s="4">
        <v>115</v>
      </c>
      <c r="D23" s="4">
        <v>105</v>
      </c>
      <c r="E23" s="4">
        <v>106</v>
      </c>
      <c r="F23" s="4">
        <v>105</v>
      </c>
      <c r="G23" s="4">
        <v>1</v>
      </c>
      <c r="H23" s="4">
        <v>1</v>
      </c>
      <c r="I23" s="4">
        <v>1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1</v>
      </c>
      <c r="S23" s="4">
        <v>124</v>
      </c>
      <c r="T23" s="4">
        <v>124</v>
      </c>
      <c r="U23" s="4">
        <v>124</v>
      </c>
      <c r="V23" s="4">
        <v>124</v>
      </c>
      <c r="W23" s="4">
        <v>126</v>
      </c>
      <c r="X23" s="4">
        <v>125</v>
      </c>
      <c r="Y23" s="4">
        <v>125</v>
      </c>
      <c r="Z23" s="4">
        <v>115</v>
      </c>
      <c r="AA23" s="4">
        <v>115</v>
      </c>
      <c r="AB23" s="4">
        <v>73</v>
      </c>
      <c r="AC23" s="4">
        <v>76</v>
      </c>
      <c r="AD23" s="4">
        <v>79</v>
      </c>
      <c r="AE23" s="4">
        <v>79</v>
      </c>
      <c r="AF23" s="4">
        <v>79</v>
      </c>
      <c r="AG23" s="4">
        <v>6</v>
      </c>
      <c r="AH23" s="4">
        <v>5</v>
      </c>
      <c r="AI23" s="4">
        <v>5</v>
      </c>
      <c r="AJ23" s="4">
        <v>13</v>
      </c>
      <c r="AK23" s="4">
        <v>2</v>
      </c>
      <c r="AL23" s="4">
        <v>2</v>
      </c>
      <c r="AM23" s="4">
        <v>3</v>
      </c>
      <c r="AN23" s="4">
        <v>1</v>
      </c>
      <c r="AO23" s="4">
        <v>1</v>
      </c>
      <c r="AP23" s="4">
        <v>1</v>
      </c>
      <c r="AQ23" s="4">
        <v>1</v>
      </c>
      <c r="AR23" s="4">
        <v>1</v>
      </c>
      <c r="AS23" s="4">
        <v>1</v>
      </c>
      <c r="AT23" s="4">
        <v>1</v>
      </c>
      <c r="AU23" s="4">
        <v>2</v>
      </c>
      <c r="AV23" s="4">
        <v>4</v>
      </c>
      <c r="AW23" s="4">
        <v>4</v>
      </c>
      <c r="AX23" s="4">
        <v>7</v>
      </c>
      <c r="AY23" s="4">
        <v>7</v>
      </c>
      <c r="AZ23" s="4">
        <v>5</v>
      </c>
      <c r="BA23" s="4">
        <v>5</v>
      </c>
      <c r="BB23" s="4">
        <v>5</v>
      </c>
      <c r="BC23" s="4">
        <v>5</v>
      </c>
      <c r="BD23" s="4">
        <v>81</v>
      </c>
      <c r="BE23" s="4">
        <v>81</v>
      </c>
      <c r="BF23" s="4">
        <v>81</v>
      </c>
      <c r="BG23" s="4">
        <v>83</v>
      </c>
      <c r="BH23" s="4">
        <v>78</v>
      </c>
      <c r="BI23" s="4">
        <v>78</v>
      </c>
      <c r="BJ23" s="4">
        <v>78</v>
      </c>
      <c r="BK23" s="4">
        <v>78</v>
      </c>
      <c r="BL23" s="4">
        <v>78</v>
      </c>
      <c r="BM23" s="4">
        <v>78</v>
      </c>
      <c r="BN23" s="4">
        <v>78</v>
      </c>
      <c r="BO23" s="4">
        <v>78</v>
      </c>
      <c r="BP23" s="4">
        <v>2</v>
      </c>
      <c r="BQ23" s="4">
        <v>2</v>
      </c>
      <c r="BR23" s="4">
        <v>2</v>
      </c>
      <c r="BS23" s="4">
        <v>2</v>
      </c>
      <c r="BT23" s="4">
        <v>0</v>
      </c>
      <c r="BU23" s="4">
        <v>0</v>
      </c>
      <c r="BV23" s="4">
        <v>1</v>
      </c>
      <c r="BW23" s="4">
        <v>1</v>
      </c>
      <c r="BX23" s="4">
        <v>0</v>
      </c>
      <c r="BY23" s="4">
        <v>0</v>
      </c>
      <c r="BZ23" s="4">
        <v>0</v>
      </c>
      <c r="CA23" s="4">
        <v>6</v>
      </c>
      <c r="CB23" s="4">
        <v>8</v>
      </c>
      <c r="CC23" s="4">
        <v>10</v>
      </c>
      <c r="CD23" s="4">
        <v>15</v>
      </c>
      <c r="CE23" s="4">
        <v>18</v>
      </c>
      <c r="CF23" s="4">
        <v>18</v>
      </c>
      <c r="CG23" s="4">
        <v>19</v>
      </c>
      <c r="CH23" s="4">
        <v>19</v>
      </c>
      <c r="CI23" s="4">
        <v>20</v>
      </c>
      <c r="CJ23" s="4">
        <v>21</v>
      </c>
      <c r="CK23" s="4">
        <v>21</v>
      </c>
      <c r="CL23" s="4">
        <v>14</v>
      </c>
      <c r="CM23" s="4">
        <v>5</v>
      </c>
      <c r="CN23" s="4">
        <v>10</v>
      </c>
      <c r="CO23" s="4">
        <v>10</v>
      </c>
      <c r="CP23" s="4">
        <v>9</v>
      </c>
      <c r="CQ23" s="4">
        <v>6</v>
      </c>
      <c r="CR23" s="4">
        <v>9</v>
      </c>
      <c r="CS23" s="4">
        <v>9</v>
      </c>
      <c r="CT23" s="4">
        <v>14</v>
      </c>
      <c r="CU23" s="4">
        <v>24</v>
      </c>
      <c r="CV23" s="4">
        <v>28</v>
      </c>
      <c r="CW23" s="4">
        <v>32</v>
      </c>
      <c r="CX23" s="4">
        <v>49</v>
      </c>
      <c r="CY23" s="4">
        <v>34</v>
      </c>
      <c r="CZ23" s="4">
        <v>38</v>
      </c>
      <c r="DA23" s="4">
        <v>38</v>
      </c>
      <c r="DB23" s="4">
        <v>39</v>
      </c>
      <c r="DC23" s="4">
        <v>39</v>
      </c>
      <c r="DD23" s="4">
        <v>39</v>
      </c>
      <c r="DE23" s="4">
        <v>39</v>
      </c>
      <c r="DF23" s="4">
        <v>36</v>
      </c>
      <c r="DG23" s="4">
        <v>34</v>
      </c>
      <c r="DH23" s="4">
        <v>15</v>
      </c>
      <c r="DI23" s="4">
        <v>22</v>
      </c>
      <c r="DJ23" s="4">
        <v>25</v>
      </c>
      <c r="DK23" s="4">
        <v>25</v>
      </c>
      <c r="DL23" s="4">
        <v>25</v>
      </c>
      <c r="DM23" s="4">
        <v>25</v>
      </c>
      <c r="DN23" s="4">
        <v>14</v>
      </c>
      <c r="DO23" s="4">
        <v>15</v>
      </c>
      <c r="DP23" s="4">
        <v>10</v>
      </c>
      <c r="DQ23" s="4">
        <v>7</v>
      </c>
      <c r="DR23" s="4">
        <v>3</v>
      </c>
      <c r="DS23" s="4">
        <v>2</v>
      </c>
      <c r="DT23" s="4">
        <v>1</v>
      </c>
      <c r="DU23" s="4">
        <v>1</v>
      </c>
      <c r="DV23" s="4">
        <v>5</v>
      </c>
      <c r="DW23" s="4">
        <v>6</v>
      </c>
      <c r="DX23" s="4">
        <v>6</v>
      </c>
      <c r="DY23" s="4">
        <v>6</v>
      </c>
      <c r="DZ23" s="4">
        <v>4</v>
      </c>
      <c r="EA23" s="4">
        <v>2</v>
      </c>
      <c r="EB23" s="4">
        <v>1</v>
      </c>
      <c r="EC23" s="4">
        <v>1</v>
      </c>
      <c r="ED23" s="4">
        <v>3</v>
      </c>
      <c r="EE23" s="4">
        <v>16</v>
      </c>
      <c r="EF23" s="4">
        <v>20</v>
      </c>
      <c r="EG23" s="4">
        <v>20</v>
      </c>
      <c r="EH23" s="4">
        <v>15</v>
      </c>
      <c r="EI23" s="4">
        <v>13</v>
      </c>
      <c r="EJ23" s="4">
        <v>22</v>
      </c>
      <c r="EK23" s="4">
        <v>25</v>
      </c>
      <c r="EL23" s="4">
        <v>21</v>
      </c>
      <c r="EM23" s="4">
        <v>29</v>
      </c>
      <c r="EN23" s="4">
        <v>28</v>
      </c>
      <c r="EO23" s="4">
        <v>67</v>
      </c>
      <c r="EP23" s="4">
        <v>77</v>
      </c>
      <c r="EQ23" s="4">
        <v>73</v>
      </c>
      <c r="ER23" s="4">
        <v>75</v>
      </c>
      <c r="ES23" s="4">
        <v>84</v>
      </c>
      <c r="ET23" s="4">
        <v>85</v>
      </c>
      <c r="EU23" s="4">
        <v>81</v>
      </c>
      <c r="EV23" s="4">
        <v>80</v>
      </c>
      <c r="EW23" s="4">
        <v>81</v>
      </c>
      <c r="EX23" s="4">
        <v>68</v>
      </c>
      <c r="EY23" s="4">
        <v>49</v>
      </c>
      <c r="EZ23" s="4">
        <v>50</v>
      </c>
      <c r="FA23" s="4">
        <v>59</v>
      </c>
      <c r="FB23" s="4">
        <v>65</v>
      </c>
      <c r="FC23" s="4">
        <v>89</v>
      </c>
      <c r="FD23" s="4">
        <v>114</v>
      </c>
      <c r="FE23" s="4">
        <v>139</v>
      </c>
      <c r="FF23" s="4">
        <v>194</v>
      </c>
      <c r="FG23" s="4">
        <v>252</v>
      </c>
      <c r="FH23" s="4">
        <v>286</v>
      </c>
      <c r="FI23" s="4">
        <v>308</v>
      </c>
      <c r="FJ23" s="4">
        <v>326</v>
      </c>
      <c r="FK23" s="4">
        <v>362</v>
      </c>
      <c r="FL23" s="4">
        <v>345</v>
      </c>
      <c r="FM23" s="4">
        <v>315</v>
      </c>
      <c r="FN23" s="4">
        <v>306</v>
      </c>
      <c r="FO23" s="4">
        <v>303</v>
      </c>
      <c r="FP23" s="4">
        <v>283</v>
      </c>
      <c r="FQ23" s="4">
        <v>261</v>
      </c>
      <c r="FR23" s="4">
        <v>175</v>
      </c>
      <c r="FS23" s="4">
        <v>175</v>
      </c>
      <c r="FT23" s="4">
        <v>172</v>
      </c>
      <c r="FU23" s="4">
        <v>171</v>
      </c>
      <c r="FV23" s="4">
        <v>163</v>
      </c>
      <c r="FW23" s="4">
        <v>122</v>
      </c>
      <c r="FX23" s="4">
        <v>134</v>
      </c>
      <c r="FY23" s="4">
        <v>113</v>
      </c>
      <c r="FZ23" s="4">
        <v>110</v>
      </c>
      <c r="GA23" s="4">
        <v>143</v>
      </c>
      <c r="GB23" s="4">
        <v>161</v>
      </c>
      <c r="GC23" s="4">
        <v>193</v>
      </c>
      <c r="GD23" s="4">
        <v>217</v>
      </c>
      <c r="GE23" s="4">
        <v>233</v>
      </c>
      <c r="GF23" s="4">
        <v>395</v>
      </c>
      <c r="GG23" s="4">
        <v>385</v>
      </c>
      <c r="GH23" s="4">
        <v>395</v>
      </c>
      <c r="GI23" s="4">
        <v>432</v>
      </c>
      <c r="GJ23" s="4">
        <v>444</v>
      </c>
      <c r="GK23" s="4">
        <v>455</v>
      </c>
      <c r="GL23" s="4">
        <v>482</v>
      </c>
      <c r="GM23" s="4">
        <v>511</v>
      </c>
      <c r="GN23" s="4">
        <v>521</v>
      </c>
      <c r="GO23" s="4">
        <v>504</v>
      </c>
      <c r="GP23" s="4">
        <v>383</v>
      </c>
      <c r="GQ23" s="4">
        <v>431</v>
      </c>
      <c r="GR23" s="4">
        <v>627</v>
      </c>
      <c r="GS23" s="4">
        <v>895</v>
      </c>
      <c r="GT23" s="4">
        <v>1270</v>
      </c>
      <c r="GU23" s="4">
        <v>1752</v>
      </c>
      <c r="GV23" s="4">
        <v>2439</v>
      </c>
      <c r="GW23" s="4">
        <v>2762</v>
      </c>
      <c r="GX23" s="4">
        <v>2829</v>
      </c>
      <c r="GY23" s="4">
        <v>3527</v>
      </c>
      <c r="GZ23" s="4">
        <v>3332</v>
      </c>
      <c r="HA23" s="4">
        <v>3245</v>
      </c>
      <c r="HB23" s="4">
        <v>3602</v>
      </c>
      <c r="HC23" s="4">
        <v>3650</v>
      </c>
      <c r="HD23" s="4">
        <v>3860</v>
      </c>
      <c r="HE23" s="4">
        <v>4089</v>
      </c>
      <c r="HF23" s="4">
        <v>4570</v>
      </c>
      <c r="HG23" s="4">
        <v>5657</v>
      </c>
      <c r="HH23" s="2"/>
      <c r="HI23" s="2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</row>
    <row r="24" spans="1:237">
      <c r="A24" s="4" t="s">
        <v>27</v>
      </c>
      <c r="B24" s="4">
        <v>6</v>
      </c>
      <c r="C24" s="4">
        <v>6</v>
      </c>
      <c r="D24" s="4">
        <v>6</v>
      </c>
      <c r="E24" s="4">
        <v>6</v>
      </c>
      <c r="F24" s="4">
        <v>6</v>
      </c>
      <c r="G24" s="4">
        <v>6</v>
      </c>
      <c r="H24" s="4">
        <v>6</v>
      </c>
      <c r="I24" s="4">
        <v>6</v>
      </c>
      <c r="J24" s="4">
        <v>6</v>
      </c>
      <c r="K24" s="4">
        <v>6</v>
      </c>
      <c r="L24" s="4">
        <v>6</v>
      </c>
      <c r="M24" s="4">
        <v>6</v>
      </c>
      <c r="N24" s="4">
        <v>6</v>
      </c>
      <c r="O24" s="4">
        <v>6</v>
      </c>
      <c r="P24" s="4">
        <v>6</v>
      </c>
      <c r="Q24" s="4">
        <v>6</v>
      </c>
      <c r="R24" s="4">
        <v>6</v>
      </c>
      <c r="S24" s="4">
        <v>6</v>
      </c>
      <c r="T24" s="4">
        <v>6</v>
      </c>
      <c r="U24" s="4">
        <v>6</v>
      </c>
      <c r="V24" s="4">
        <v>6</v>
      </c>
      <c r="W24" s="4">
        <v>6</v>
      </c>
      <c r="X24" s="4">
        <v>6</v>
      </c>
      <c r="Y24" s="4">
        <v>6</v>
      </c>
      <c r="Z24" s="4">
        <v>6</v>
      </c>
      <c r="AA24" s="4">
        <v>6</v>
      </c>
      <c r="AB24" s="4">
        <v>6</v>
      </c>
      <c r="AC24" s="4">
        <v>6</v>
      </c>
      <c r="AD24" s="4">
        <v>6</v>
      </c>
      <c r="AE24" s="4">
        <v>6</v>
      </c>
      <c r="AF24" s="4">
        <v>6</v>
      </c>
      <c r="AG24" s="4">
        <v>6</v>
      </c>
      <c r="AH24" s="4">
        <v>6</v>
      </c>
      <c r="AI24" s="4">
        <v>6</v>
      </c>
      <c r="AJ24" s="4">
        <v>6</v>
      </c>
      <c r="AK24" s="4">
        <v>6</v>
      </c>
      <c r="AL24" s="4">
        <v>6</v>
      </c>
      <c r="AM24" s="4">
        <v>6</v>
      </c>
      <c r="AN24" s="4">
        <v>6</v>
      </c>
      <c r="AO24" s="4">
        <v>6</v>
      </c>
      <c r="AP24" s="4">
        <v>6</v>
      </c>
      <c r="AQ24" s="4">
        <v>6</v>
      </c>
      <c r="AR24" s="4">
        <v>6</v>
      </c>
      <c r="AS24" s="4">
        <v>6</v>
      </c>
      <c r="AT24" s="4">
        <v>6</v>
      </c>
      <c r="AU24" s="4">
        <v>6</v>
      </c>
      <c r="AV24" s="4">
        <v>6</v>
      </c>
      <c r="AW24" s="4">
        <v>6</v>
      </c>
      <c r="AX24" s="4">
        <v>6</v>
      </c>
      <c r="AY24" s="4">
        <v>6</v>
      </c>
      <c r="AZ24" s="4">
        <v>6</v>
      </c>
      <c r="BA24" s="4">
        <v>6</v>
      </c>
      <c r="BB24" s="4">
        <v>6</v>
      </c>
      <c r="BC24" s="4">
        <v>6</v>
      </c>
      <c r="BD24" s="4">
        <v>6</v>
      </c>
      <c r="BE24" s="4">
        <v>6</v>
      </c>
      <c r="BF24" s="4">
        <v>6</v>
      </c>
      <c r="BG24" s="4">
        <v>6</v>
      </c>
      <c r="BH24" s="4">
        <v>6</v>
      </c>
      <c r="BI24" s="4">
        <v>6</v>
      </c>
      <c r="BJ24" s="4">
        <v>6</v>
      </c>
      <c r="BK24" s="4">
        <v>6</v>
      </c>
      <c r="BL24" s="4">
        <v>6</v>
      </c>
      <c r="BM24" s="4">
        <v>6</v>
      </c>
      <c r="BN24" s="4">
        <v>6</v>
      </c>
      <c r="BO24" s="4">
        <v>6</v>
      </c>
      <c r="BP24" s="4">
        <v>6</v>
      </c>
      <c r="BQ24" s="4">
        <v>6</v>
      </c>
      <c r="BR24" s="4">
        <v>6</v>
      </c>
      <c r="BS24" s="4">
        <v>6</v>
      </c>
      <c r="BT24" s="4">
        <v>6</v>
      </c>
      <c r="BU24" s="4">
        <v>6</v>
      </c>
      <c r="BV24" s="4">
        <v>6</v>
      </c>
      <c r="BW24" s="4">
        <v>6</v>
      </c>
      <c r="BX24" s="4">
        <v>6</v>
      </c>
      <c r="BY24" s="4">
        <v>6</v>
      </c>
      <c r="BZ24" s="4">
        <v>6</v>
      </c>
      <c r="CA24" s="4">
        <v>6</v>
      </c>
      <c r="CB24" s="4">
        <v>6</v>
      </c>
      <c r="CC24" s="4">
        <v>6</v>
      </c>
      <c r="CD24" s="4">
        <v>6</v>
      </c>
      <c r="CE24" s="4">
        <v>6</v>
      </c>
      <c r="CF24" s="4">
        <v>6</v>
      </c>
      <c r="CG24" s="4">
        <v>6</v>
      </c>
      <c r="CH24" s="4">
        <v>6</v>
      </c>
      <c r="CI24" s="4">
        <v>6</v>
      </c>
      <c r="CJ24" s="4">
        <v>6</v>
      </c>
      <c r="CK24" s="4">
        <v>6</v>
      </c>
      <c r="CL24" s="4">
        <v>6</v>
      </c>
      <c r="CM24" s="4">
        <v>6</v>
      </c>
      <c r="CN24" s="4">
        <v>6</v>
      </c>
      <c r="CO24" s="4">
        <v>6</v>
      </c>
      <c r="CP24" s="4">
        <v>6</v>
      </c>
      <c r="CQ24" s="4">
        <v>6</v>
      </c>
      <c r="CR24" s="4">
        <v>6</v>
      </c>
      <c r="CS24" s="4">
        <v>6</v>
      </c>
      <c r="CT24" s="4">
        <v>6</v>
      </c>
      <c r="CU24" s="4">
        <v>6</v>
      </c>
      <c r="CV24" s="4">
        <v>6</v>
      </c>
      <c r="CW24" s="4">
        <v>6</v>
      </c>
      <c r="CX24" s="4">
        <v>6</v>
      </c>
      <c r="CY24" s="4">
        <v>6</v>
      </c>
      <c r="CZ24" s="4">
        <v>6</v>
      </c>
      <c r="DA24" s="4">
        <v>6</v>
      </c>
      <c r="DB24" s="4">
        <v>6</v>
      </c>
      <c r="DC24" s="4">
        <v>6</v>
      </c>
      <c r="DD24" s="4">
        <v>6</v>
      </c>
      <c r="DE24" s="4">
        <v>6</v>
      </c>
      <c r="DF24" s="4">
        <v>6</v>
      </c>
      <c r="DG24" s="4">
        <v>6</v>
      </c>
      <c r="DH24" s="4">
        <v>6</v>
      </c>
      <c r="DI24" s="4">
        <v>6</v>
      </c>
      <c r="DJ24" s="4">
        <v>6</v>
      </c>
      <c r="DK24" s="4">
        <v>6</v>
      </c>
      <c r="DL24" s="4">
        <v>6</v>
      </c>
      <c r="DM24" s="4">
        <v>6</v>
      </c>
      <c r="DN24" s="4">
        <v>6</v>
      </c>
      <c r="DO24" s="4">
        <v>6</v>
      </c>
      <c r="DP24" s="4">
        <v>6</v>
      </c>
      <c r="DQ24" s="4">
        <v>6</v>
      </c>
      <c r="DR24" s="4">
        <v>6</v>
      </c>
      <c r="DS24" s="4">
        <v>6</v>
      </c>
      <c r="DT24" s="4">
        <v>6</v>
      </c>
      <c r="DU24" s="4">
        <v>6</v>
      </c>
      <c r="DV24" s="4">
        <v>6</v>
      </c>
      <c r="DW24" s="4">
        <v>6</v>
      </c>
      <c r="DX24" s="4">
        <v>6</v>
      </c>
      <c r="DY24" s="4">
        <v>6</v>
      </c>
      <c r="DZ24" s="4">
        <v>6</v>
      </c>
      <c r="EA24" s="4">
        <v>6</v>
      </c>
      <c r="EB24" s="4">
        <v>6</v>
      </c>
      <c r="EC24" s="4">
        <v>6</v>
      </c>
      <c r="ED24" s="4">
        <v>6</v>
      </c>
      <c r="EE24" s="4">
        <v>6</v>
      </c>
      <c r="EF24" s="4">
        <v>6</v>
      </c>
      <c r="EG24" s="4">
        <v>6</v>
      </c>
      <c r="EH24" s="4">
        <v>6</v>
      </c>
      <c r="EI24" s="4">
        <v>6</v>
      </c>
      <c r="EJ24" s="4">
        <v>6</v>
      </c>
      <c r="EK24" s="4">
        <v>6</v>
      </c>
      <c r="EL24" s="4">
        <v>6</v>
      </c>
      <c r="EM24" s="4">
        <v>6</v>
      </c>
      <c r="EN24" s="4">
        <v>6</v>
      </c>
      <c r="EO24" s="4">
        <v>6</v>
      </c>
      <c r="EP24" s="4">
        <v>6</v>
      </c>
      <c r="EQ24" s="4">
        <v>6</v>
      </c>
      <c r="ER24" s="4">
        <v>6</v>
      </c>
      <c r="ES24" s="4">
        <v>6</v>
      </c>
      <c r="ET24" s="4">
        <v>6</v>
      </c>
      <c r="EU24" s="4">
        <v>6</v>
      </c>
      <c r="EV24" s="4">
        <v>6</v>
      </c>
      <c r="EW24" s="4">
        <v>6</v>
      </c>
      <c r="EX24" s="4">
        <v>6</v>
      </c>
      <c r="EY24" s="4">
        <v>6</v>
      </c>
      <c r="EZ24" s="4">
        <v>6</v>
      </c>
      <c r="FA24" s="4">
        <v>6</v>
      </c>
      <c r="FB24" s="4">
        <v>6</v>
      </c>
      <c r="FC24" s="4">
        <v>6</v>
      </c>
      <c r="FD24" s="4">
        <v>6</v>
      </c>
      <c r="FE24" s="4">
        <v>6</v>
      </c>
      <c r="FF24" s="4">
        <v>6</v>
      </c>
      <c r="FG24" s="4">
        <v>6</v>
      </c>
      <c r="FH24" s="4">
        <v>6</v>
      </c>
      <c r="FI24" s="4">
        <v>6</v>
      </c>
      <c r="FJ24" s="4">
        <v>6</v>
      </c>
      <c r="FK24" s="4">
        <v>6</v>
      </c>
      <c r="FL24" s="4">
        <v>6</v>
      </c>
      <c r="FM24" s="4">
        <v>6</v>
      </c>
      <c r="FN24" s="4">
        <v>6</v>
      </c>
      <c r="FO24" s="4">
        <v>6</v>
      </c>
      <c r="FP24" s="4">
        <v>6</v>
      </c>
      <c r="FQ24" s="4">
        <v>6</v>
      </c>
      <c r="FR24" s="4">
        <v>6</v>
      </c>
      <c r="FS24" s="4">
        <v>6</v>
      </c>
      <c r="FT24" s="4">
        <v>6</v>
      </c>
      <c r="FU24" s="4">
        <v>6</v>
      </c>
      <c r="FV24" s="4">
        <v>6</v>
      </c>
      <c r="FW24" s="4">
        <v>6</v>
      </c>
      <c r="FX24" s="4">
        <v>6</v>
      </c>
      <c r="FY24" s="4">
        <v>6</v>
      </c>
      <c r="FZ24" s="4">
        <v>6</v>
      </c>
      <c r="GA24" s="4">
        <v>6</v>
      </c>
      <c r="GB24" s="4">
        <v>6</v>
      </c>
      <c r="GC24" s="4">
        <v>6</v>
      </c>
      <c r="GD24" s="4">
        <v>6</v>
      </c>
      <c r="GE24" s="4">
        <v>6</v>
      </c>
      <c r="GF24" s="4">
        <v>6</v>
      </c>
      <c r="GG24" s="4">
        <v>6</v>
      </c>
      <c r="GH24" s="4">
        <v>6</v>
      </c>
      <c r="GI24" s="4">
        <v>6</v>
      </c>
      <c r="GJ24" s="4">
        <v>6</v>
      </c>
      <c r="GK24" s="4">
        <v>6</v>
      </c>
      <c r="GL24" s="4">
        <v>6</v>
      </c>
      <c r="GM24" s="4">
        <v>6</v>
      </c>
      <c r="GN24" s="4">
        <v>6</v>
      </c>
      <c r="GO24" s="4">
        <v>6</v>
      </c>
      <c r="GP24" s="4">
        <v>6</v>
      </c>
      <c r="GQ24" s="4">
        <v>6</v>
      </c>
      <c r="GR24" s="4">
        <v>6</v>
      </c>
      <c r="GS24" s="4">
        <v>6</v>
      </c>
      <c r="GT24" s="4">
        <v>6</v>
      </c>
      <c r="GU24" s="4">
        <v>6</v>
      </c>
      <c r="GV24" s="4">
        <v>6</v>
      </c>
      <c r="GW24" s="4">
        <v>6</v>
      </c>
      <c r="GX24" s="4">
        <v>6</v>
      </c>
      <c r="GY24" s="4">
        <v>6</v>
      </c>
      <c r="GZ24" s="4">
        <v>6</v>
      </c>
      <c r="HA24" s="4">
        <v>6</v>
      </c>
      <c r="HB24" s="4">
        <v>6</v>
      </c>
      <c r="HC24" s="4">
        <v>6</v>
      </c>
      <c r="HD24" s="4">
        <v>6</v>
      </c>
      <c r="HE24" s="4">
        <v>6</v>
      </c>
      <c r="HF24" s="4">
        <v>6</v>
      </c>
      <c r="HG24" s="4">
        <v>6</v>
      </c>
      <c r="HH24" s="4">
        <v>5</v>
      </c>
      <c r="HI24" s="4">
        <v>4</v>
      </c>
      <c r="HJ24" s="2">
        <v>4</v>
      </c>
      <c r="HK24" s="2">
        <v>3</v>
      </c>
      <c r="HL24" s="4">
        <v>1</v>
      </c>
      <c r="HM24" s="4">
        <v>0</v>
      </c>
      <c r="HN24" s="4">
        <v>0</v>
      </c>
      <c r="HO24" s="4">
        <v>0</v>
      </c>
      <c r="HP24" s="4">
        <v>0</v>
      </c>
      <c r="HQ24" s="4">
        <v>0</v>
      </c>
      <c r="HR24" s="4">
        <v>0</v>
      </c>
      <c r="HS24" s="4">
        <v>0</v>
      </c>
      <c r="HT24" s="4">
        <v>0</v>
      </c>
      <c r="HU24" s="4">
        <v>0</v>
      </c>
      <c r="HV24" s="2">
        <v>0</v>
      </c>
      <c r="HW24" s="2">
        <v>0</v>
      </c>
      <c r="HX24" s="2">
        <v>0</v>
      </c>
      <c r="HY24" s="2">
        <v>0</v>
      </c>
      <c r="HZ24" s="2">
        <v>0</v>
      </c>
      <c r="IA24" s="2">
        <v>0</v>
      </c>
      <c r="IB24" s="2">
        <v>0</v>
      </c>
      <c r="IC24" s="2">
        <v>0</v>
      </c>
    </row>
    <row r="25" spans="1:237">
      <c r="A25" s="4" t="s">
        <v>24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3</v>
      </c>
      <c r="GK25" s="4">
        <v>5</v>
      </c>
      <c r="GL25" s="4">
        <v>14</v>
      </c>
      <c r="GM25" s="4">
        <v>28</v>
      </c>
      <c r="GN25" s="4">
        <v>43</v>
      </c>
      <c r="GO25" s="4">
        <v>67</v>
      </c>
      <c r="GP25" s="4">
        <v>96</v>
      </c>
      <c r="GQ25" s="4">
        <v>116</v>
      </c>
      <c r="GR25" s="4">
        <v>142</v>
      </c>
      <c r="GS25" s="4">
        <v>170</v>
      </c>
      <c r="GT25" s="4">
        <v>219</v>
      </c>
      <c r="GU25" s="4">
        <v>256</v>
      </c>
      <c r="GV25" s="4">
        <v>291</v>
      </c>
      <c r="GW25" s="4">
        <v>335</v>
      </c>
      <c r="GX25" s="4">
        <v>363</v>
      </c>
      <c r="GY25" s="4">
        <v>416</v>
      </c>
      <c r="GZ25" s="4">
        <v>482</v>
      </c>
      <c r="HA25" s="4">
        <v>557</v>
      </c>
      <c r="HB25" s="4">
        <v>619</v>
      </c>
      <c r="HC25" s="4">
        <v>683</v>
      </c>
      <c r="HD25" s="4">
        <v>701</v>
      </c>
      <c r="HE25" s="4">
        <v>724</v>
      </c>
      <c r="HF25" s="4">
        <v>746</v>
      </c>
      <c r="HG25" s="2">
        <v>762</v>
      </c>
      <c r="HH25" s="4">
        <v>777</v>
      </c>
      <c r="HI25" s="4">
        <v>777</v>
      </c>
      <c r="HJ25" s="2">
        <v>768</v>
      </c>
      <c r="HK25" s="2">
        <v>754</v>
      </c>
      <c r="HL25" s="4">
        <v>719</v>
      </c>
      <c r="HM25" s="4">
        <v>686</v>
      </c>
      <c r="HN25" s="4">
        <v>631</v>
      </c>
      <c r="HO25" s="4">
        <v>568</v>
      </c>
      <c r="HP25" s="4">
        <v>510</v>
      </c>
      <c r="HQ25" s="4">
        <v>466</v>
      </c>
      <c r="HR25" s="4">
        <v>401</v>
      </c>
      <c r="HS25" s="4">
        <v>335</v>
      </c>
      <c r="HT25" s="4">
        <v>294</v>
      </c>
      <c r="HU25" s="4">
        <v>235</v>
      </c>
      <c r="HV25" s="4">
        <v>198</v>
      </c>
      <c r="HW25" s="2">
        <v>152</v>
      </c>
      <c r="HX25" s="2">
        <v>106</v>
      </c>
      <c r="HY25" s="2">
        <v>70</v>
      </c>
      <c r="HZ25" s="2">
        <v>60</v>
      </c>
      <c r="IA25" s="2">
        <v>39</v>
      </c>
      <c r="IB25" s="2">
        <v>15</v>
      </c>
      <c r="IC25" s="2">
        <v>9</v>
      </c>
    </row>
    <row r="26" spans="1:237">
      <c r="A26" s="4" t="s">
        <v>25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2</v>
      </c>
      <c r="GY26" s="4">
        <v>3</v>
      </c>
      <c r="GZ26" s="4">
        <v>3</v>
      </c>
      <c r="HA26" s="4">
        <v>7</v>
      </c>
      <c r="HB26" s="4">
        <v>9</v>
      </c>
      <c r="HC26" s="4">
        <v>10</v>
      </c>
      <c r="HD26" s="4">
        <v>12</v>
      </c>
      <c r="HE26" s="4">
        <v>16</v>
      </c>
      <c r="HF26" s="4">
        <v>14</v>
      </c>
      <c r="HG26" s="4">
        <v>11</v>
      </c>
      <c r="HH26" s="4">
        <v>11</v>
      </c>
      <c r="HI26" s="4">
        <v>8</v>
      </c>
      <c r="HJ26" s="2">
        <v>6</v>
      </c>
      <c r="HK26" s="2">
        <v>7</v>
      </c>
      <c r="HL26" s="4">
        <v>5</v>
      </c>
      <c r="HM26" s="4">
        <v>6</v>
      </c>
      <c r="HN26" s="4">
        <v>6</v>
      </c>
      <c r="HO26" s="4">
        <v>6</v>
      </c>
      <c r="HP26" s="4">
        <v>5</v>
      </c>
      <c r="HQ26" s="4">
        <v>5</v>
      </c>
      <c r="HR26" s="4">
        <v>4</v>
      </c>
      <c r="HS26" s="4">
        <v>4</v>
      </c>
      <c r="HT26" s="4">
        <v>3</v>
      </c>
      <c r="HU26" s="4">
        <v>3</v>
      </c>
      <c r="HV26" s="4">
        <v>0</v>
      </c>
      <c r="HW26" s="4">
        <v>0</v>
      </c>
      <c r="HX26" s="4">
        <v>0</v>
      </c>
      <c r="HY26" s="4">
        <v>0</v>
      </c>
      <c r="HZ26" s="4">
        <v>0</v>
      </c>
      <c r="IA26" s="4">
        <v>0</v>
      </c>
      <c r="IB26" s="4">
        <v>0</v>
      </c>
      <c r="IC26" s="4">
        <v>0</v>
      </c>
    </row>
    <row r="27" spans="1:237">
      <c r="A27" s="4" t="s">
        <v>26</v>
      </c>
      <c r="B27" s="4">
        <f t="shared" ref="B27:C27" si="99">B18-B25-B24</f>
        <v>986</v>
      </c>
      <c r="C27" s="4">
        <f t="shared" si="99"/>
        <v>986</v>
      </c>
      <c r="D27" s="4">
        <f t="shared" ref="D27:E27" si="100">D18-D25-D24</f>
        <v>986</v>
      </c>
      <c r="E27" s="4">
        <f t="shared" si="100"/>
        <v>986</v>
      </c>
      <c r="F27" s="4">
        <f t="shared" ref="F27:G27" si="101">F18-F25-F24</f>
        <v>986</v>
      </c>
      <c r="G27" s="4">
        <f t="shared" si="101"/>
        <v>986</v>
      </c>
      <c r="H27" s="4">
        <f t="shared" ref="H27:I27" si="102">H18-H25-H24</f>
        <v>986</v>
      </c>
      <c r="I27" s="4">
        <f t="shared" si="102"/>
        <v>986</v>
      </c>
      <c r="J27" s="4">
        <f t="shared" ref="J27" si="103">J18-J25-J24</f>
        <v>986</v>
      </c>
      <c r="K27" s="4">
        <f t="shared" ref="K27" si="104">K18-K25-K24</f>
        <v>986</v>
      </c>
      <c r="L27" s="4">
        <f t="shared" ref="L27:M27" si="105">L18-L25-L24</f>
        <v>986</v>
      </c>
      <c r="M27" s="4">
        <f t="shared" si="105"/>
        <v>986</v>
      </c>
      <c r="N27" s="4">
        <f t="shared" ref="N27:O27" si="106">N18-N25-N24</f>
        <v>986</v>
      </c>
      <c r="O27" s="4">
        <f t="shared" si="106"/>
        <v>986</v>
      </c>
      <c r="P27" s="4">
        <f t="shared" ref="P27:Q27" si="107">P18-P25-P24</f>
        <v>986</v>
      </c>
      <c r="Q27" s="4">
        <f t="shared" si="107"/>
        <v>986</v>
      </c>
      <c r="R27" s="4">
        <f t="shared" ref="R27:S27" si="108">R18-R25-R24</f>
        <v>986</v>
      </c>
      <c r="S27" s="4">
        <f t="shared" si="108"/>
        <v>986</v>
      </c>
      <c r="T27" s="4">
        <f t="shared" ref="T27:U27" si="109">T18-T25-T24</f>
        <v>986</v>
      </c>
      <c r="U27" s="4">
        <f t="shared" si="109"/>
        <v>986</v>
      </c>
      <c r="V27" s="4">
        <f t="shared" ref="V27:W27" si="110">V18-V25-V24</f>
        <v>986</v>
      </c>
      <c r="W27" s="4">
        <f t="shared" si="110"/>
        <v>986</v>
      </c>
      <c r="X27" s="4">
        <f t="shared" ref="X27:Y27" si="111">X18-X25-X24</f>
        <v>986</v>
      </c>
      <c r="Y27" s="4">
        <f t="shared" si="111"/>
        <v>986</v>
      </c>
      <c r="Z27" s="4">
        <f t="shared" ref="Z27:AA27" si="112">Z18-Z25-Z24</f>
        <v>986</v>
      </c>
      <c r="AA27" s="4">
        <f t="shared" si="112"/>
        <v>986</v>
      </c>
      <c r="AB27" s="4">
        <f t="shared" ref="AB27:AC27" si="113">AB18-AB25-AB24</f>
        <v>986</v>
      </c>
      <c r="AC27" s="4">
        <f t="shared" si="113"/>
        <v>986</v>
      </c>
      <c r="AD27" s="4">
        <f t="shared" ref="AD27:AE27" si="114">AD18-AD25-AD24</f>
        <v>986</v>
      </c>
      <c r="AE27" s="4">
        <f t="shared" si="114"/>
        <v>986</v>
      </c>
      <c r="AF27" s="4">
        <f t="shared" ref="AF27:AG27" si="115">AF18-AF25-AF24</f>
        <v>986</v>
      </c>
      <c r="AG27" s="4">
        <f t="shared" si="115"/>
        <v>986</v>
      </c>
      <c r="AH27" s="4">
        <f t="shared" ref="AH27:AI27" si="116">AH18-AH25-AH24</f>
        <v>986</v>
      </c>
      <c r="AI27" s="4">
        <f t="shared" si="116"/>
        <v>986</v>
      </c>
      <c r="AJ27" s="4">
        <f t="shared" ref="AJ27:AK27" si="117">AJ18-AJ25-AJ24</f>
        <v>986</v>
      </c>
      <c r="AK27" s="4">
        <f t="shared" si="117"/>
        <v>986</v>
      </c>
      <c r="AL27" s="4">
        <f t="shared" ref="AL27" si="118">AL18-AL25-AL24</f>
        <v>986</v>
      </c>
      <c r="AM27" s="4">
        <f t="shared" ref="AM27:AN27" si="119">AM18-AM25-AM24</f>
        <v>986</v>
      </c>
      <c r="AN27" s="4">
        <f t="shared" si="119"/>
        <v>986</v>
      </c>
      <c r="AO27" s="4">
        <f t="shared" ref="AO27" si="120">AO18-AO25-AO24</f>
        <v>986</v>
      </c>
      <c r="AP27" s="4">
        <f t="shared" ref="AP27" si="121">AP18-AP25-AP24</f>
        <v>986</v>
      </c>
      <c r="AQ27" s="4">
        <f t="shared" ref="AQ27" si="122">AQ18-AQ25-AQ24</f>
        <v>986</v>
      </c>
      <c r="AR27" s="4">
        <f t="shared" ref="AR27:AS27" si="123">AR18-AR25-AR24</f>
        <v>986</v>
      </c>
      <c r="AS27" s="4">
        <f t="shared" si="123"/>
        <v>986</v>
      </c>
      <c r="AT27" s="4">
        <f t="shared" ref="AT27:AU27" si="124">AT18-AT25-AT24</f>
        <v>986</v>
      </c>
      <c r="AU27" s="4">
        <f t="shared" si="124"/>
        <v>986</v>
      </c>
      <c r="AV27" s="4">
        <f t="shared" ref="AV27:AW27" si="125">AV18-AV25-AV24</f>
        <v>986</v>
      </c>
      <c r="AW27" s="4">
        <f t="shared" si="125"/>
        <v>986</v>
      </c>
      <c r="AX27" s="4">
        <f t="shared" ref="AX27:AY27" si="126">AX18-AX25-AX24</f>
        <v>986</v>
      </c>
      <c r="AY27" s="4">
        <f t="shared" si="126"/>
        <v>986</v>
      </c>
      <c r="AZ27" s="4">
        <f t="shared" ref="AZ27:BA27" si="127">AZ18-AZ25-AZ24</f>
        <v>986</v>
      </c>
      <c r="BA27" s="4">
        <f t="shared" si="127"/>
        <v>986</v>
      </c>
      <c r="BB27" s="4">
        <f t="shared" ref="BB27:BC27" si="128">BB18-BB25-BB24</f>
        <v>986</v>
      </c>
      <c r="BC27" s="4">
        <f t="shared" si="128"/>
        <v>986</v>
      </c>
      <c r="BD27" s="4">
        <f t="shared" ref="BD27:BE27" si="129">BD18-BD25-BD24</f>
        <v>986</v>
      </c>
      <c r="BE27" s="4">
        <f t="shared" si="129"/>
        <v>986</v>
      </c>
      <c r="BF27" s="4">
        <f t="shared" ref="BF27:BG27" si="130">BF18-BF25-BF24</f>
        <v>986</v>
      </c>
      <c r="BG27" s="4">
        <f t="shared" si="130"/>
        <v>986</v>
      </c>
      <c r="BH27" s="4">
        <f t="shared" ref="BH27:BI27" si="131">BH18-BH25-BH24</f>
        <v>986</v>
      </c>
      <c r="BI27" s="4">
        <f t="shared" si="131"/>
        <v>986</v>
      </c>
      <c r="BJ27" s="4">
        <f t="shared" ref="BJ27:BK27" si="132">BJ18-BJ25-BJ24</f>
        <v>986</v>
      </c>
      <c r="BK27" s="4">
        <f t="shared" si="132"/>
        <v>986</v>
      </c>
      <c r="BL27" s="4">
        <f t="shared" ref="BL27:BM27" si="133">BL18-BL25-BL24</f>
        <v>986</v>
      </c>
      <c r="BM27" s="4">
        <f t="shared" si="133"/>
        <v>986</v>
      </c>
      <c r="BN27" s="4">
        <f t="shared" ref="BN27:BO27" si="134">BN18-BN25-BN24</f>
        <v>986</v>
      </c>
      <c r="BO27" s="4">
        <f t="shared" si="134"/>
        <v>986</v>
      </c>
      <c r="BP27" s="4">
        <f t="shared" ref="BP27:BQ27" si="135">BP18-BP25-BP24</f>
        <v>986</v>
      </c>
      <c r="BQ27" s="4">
        <f t="shared" si="135"/>
        <v>986</v>
      </c>
      <c r="BR27" s="4">
        <f t="shared" ref="BR27:BS27" si="136">BR18-BR25-BR24</f>
        <v>986</v>
      </c>
      <c r="BS27" s="4">
        <f t="shared" si="136"/>
        <v>986</v>
      </c>
      <c r="BT27" s="4">
        <f t="shared" ref="BT27:BU27" si="137">BT18-BT25-BT24</f>
        <v>986</v>
      </c>
      <c r="BU27" s="4">
        <f t="shared" si="137"/>
        <v>986</v>
      </c>
      <c r="BV27" s="4">
        <f t="shared" ref="BV27:BW27" si="138">BV18-BV25-BV24</f>
        <v>986</v>
      </c>
      <c r="BW27" s="4">
        <f t="shared" si="138"/>
        <v>986</v>
      </c>
      <c r="BX27" s="4">
        <f t="shared" ref="BX27:BY27" si="139">BX18-BX25-BX24</f>
        <v>986</v>
      </c>
      <c r="BY27" s="4">
        <f t="shared" si="139"/>
        <v>986</v>
      </c>
      <c r="BZ27" s="4">
        <f t="shared" ref="BZ27:CA27" si="140">BZ18-BZ25-BZ24</f>
        <v>986</v>
      </c>
      <c r="CA27" s="4">
        <f t="shared" si="140"/>
        <v>986</v>
      </c>
      <c r="CB27" s="4">
        <f t="shared" ref="CB27:CC27" si="141">CB18-CB25-CB24</f>
        <v>986</v>
      </c>
      <c r="CC27" s="4">
        <f t="shared" si="141"/>
        <v>986</v>
      </c>
      <c r="CD27" s="4">
        <f t="shared" ref="CD27:CE27" si="142">CD18-CD25-CD24</f>
        <v>986</v>
      </c>
      <c r="CE27" s="4">
        <f t="shared" si="142"/>
        <v>986</v>
      </c>
      <c r="CF27" s="4">
        <f t="shared" ref="CF27:CG27" si="143">CF18-CF25-CF24</f>
        <v>986</v>
      </c>
      <c r="CG27" s="4">
        <f t="shared" si="143"/>
        <v>986</v>
      </c>
      <c r="CH27" s="4">
        <f t="shared" ref="CH27:CI27" si="144">CH18-CH25-CH24</f>
        <v>986</v>
      </c>
      <c r="CI27" s="4">
        <f t="shared" si="144"/>
        <v>986</v>
      </c>
      <c r="CJ27" s="4">
        <f t="shared" ref="CJ27" si="145">CJ18-CJ25-CJ24</f>
        <v>986</v>
      </c>
      <c r="CK27" s="4">
        <f t="shared" ref="CK27" si="146">CK18-CK25-CK24</f>
        <v>986</v>
      </c>
      <c r="CL27" s="4">
        <f t="shared" ref="CL27:CM27" si="147">CL18-CL25-CL24</f>
        <v>986</v>
      </c>
      <c r="CM27" s="4">
        <f t="shared" si="147"/>
        <v>986</v>
      </c>
      <c r="CN27" s="4">
        <f t="shared" ref="CN27:CO27" si="148">CN18-CN25-CN24</f>
        <v>986</v>
      </c>
      <c r="CO27" s="4">
        <f t="shared" si="148"/>
        <v>986</v>
      </c>
      <c r="CP27" s="4">
        <f t="shared" ref="CP27" si="149">CP18-CP25-CP24</f>
        <v>986</v>
      </c>
      <c r="CQ27" s="4">
        <f t="shared" ref="CQ27:CR27" si="150">CQ18-CQ25-CQ24</f>
        <v>986</v>
      </c>
      <c r="CR27" s="4">
        <f t="shared" si="150"/>
        <v>986</v>
      </c>
      <c r="CS27" s="4">
        <f t="shared" ref="CS27:CT27" si="151">CS18-CS25-CS24</f>
        <v>986</v>
      </c>
      <c r="CT27" s="4">
        <f t="shared" si="151"/>
        <v>986</v>
      </c>
      <c r="CU27" s="4">
        <f t="shared" ref="CU27" si="152">CU18-CU25-CU24</f>
        <v>986</v>
      </c>
      <c r="CV27" s="4">
        <f t="shared" ref="CV27:CW27" si="153">CV18-CV25-CV24</f>
        <v>986</v>
      </c>
      <c r="CW27" s="4">
        <f t="shared" si="153"/>
        <v>986</v>
      </c>
      <c r="CX27" s="4">
        <f t="shared" ref="CX27:CY27" si="154">CX18-CX25-CX24</f>
        <v>986</v>
      </c>
      <c r="CY27" s="4">
        <f t="shared" si="154"/>
        <v>986</v>
      </c>
      <c r="CZ27" s="4">
        <f t="shared" ref="CZ27:DA27" si="155">CZ18-CZ25-CZ24</f>
        <v>986</v>
      </c>
      <c r="DA27" s="4">
        <f t="shared" si="155"/>
        <v>986</v>
      </c>
      <c r="DB27" s="4">
        <f t="shared" ref="DB27:DC27" si="156">DB18-DB25-DB24</f>
        <v>986</v>
      </c>
      <c r="DC27" s="4">
        <f t="shared" si="156"/>
        <v>986</v>
      </c>
      <c r="DD27" s="4">
        <f t="shared" ref="DD27:DE27" si="157">DD18-DD25-DD24</f>
        <v>986</v>
      </c>
      <c r="DE27" s="4">
        <f t="shared" si="157"/>
        <v>986</v>
      </c>
      <c r="DF27" s="4">
        <f t="shared" ref="DF27" si="158">DF18-DF25-DF24</f>
        <v>986</v>
      </c>
      <c r="DG27" s="4">
        <f t="shared" ref="DG27:DH27" si="159">DG18-DG25-DG24</f>
        <v>986</v>
      </c>
      <c r="DH27" s="4">
        <f t="shared" si="159"/>
        <v>986</v>
      </c>
      <c r="DI27" s="4">
        <f t="shared" ref="DI27" si="160">DI18-DI25-DI24</f>
        <v>986</v>
      </c>
      <c r="DJ27" s="4">
        <f t="shared" ref="DJ27:DK27" si="161">DJ18-DJ25-DJ24</f>
        <v>986</v>
      </c>
      <c r="DK27" s="4">
        <f t="shared" si="161"/>
        <v>986</v>
      </c>
      <c r="DL27" s="4">
        <f t="shared" ref="DL27:DM27" si="162">DL18-DL25-DL24</f>
        <v>986</v>
      </c>
      <c r="DM27" s="4">
        <f t="shared" si="162"/>
        <v>986</v>
      </c>
      <c r="DN27" s="4">
        <f t="shared" ref="DN27" si="163">DN18-DN25-DN24</f>
        <v>986</v>
      </c>
      <c r="DO27" s="4">
        <f t="shared" ref="DO27:DP27" si="164">DO18-DO25-DO24</f>
        <v>986</v>
      </c>
      <c r="DP27" s="4">
        <f t="shared" si="164"/>
        <v>986</v>
      </c>
      <c r="DQ27" s="4">
        <f t="shared" ref="DQ27:DR27" si="165">DQ18-DQ25-DQ24</f>
        <v>986</v>
      </c>
      <c r="DR27" s="4">
        <f t="shared" si="165"/>
        <v>986</v>
      </c>
      <c r="DS27" s="4">
        <f t="shared" ref="DS27:DT27" si="166">DS18-DS25-DS24</f>
        <v>986</v>
      </c>
      <c r="DT27" s="4">
        <f t="shared" si="166"/>
        <v>986</v>
      </c>
      <c r="DU27" s="4">
        <f t="shared" ref="DU27:DV27" si="167">DU18-DU25-DU24</f>
        <v>986</v>
      </c>
      <c r="DV27" s="4">
        <f t="shared" si="167"/>
        <v>986</v>
      </c>
      <c r="DW27" s="4">
        <f t="shared" ref="DW27:DX27" si="168">DW18-DW25-DW24</f>
        <v>986</v>
      </c>
      <c r="DX27" s="4">
        <f t="shared" si="168"/>
        <v>986</v>
      </c>
      <c r="DY27" s="4">
        <f t="shared" ref="DY27" si="169">DY18-DY25-DY24</f>
        <v>986</v>
      </c>
      <c r="DZ27" s="4">
        <f t="shared" ref="DZ27:EA27" si="170">DZ18-DZ25-DZ24</f>
        <v>986</v>
      </c>
      <c r="EA27" s="4">
        <f t="shared" si="170"/>
        <v>986</v>
      </c>
      <c r="EB27" s="4">
        <f t="shared" ref="EB27:EC27" si="171">EB18-EB25-EB24</f>
        <v>986</v>
      </c>
      <c r="EC27" s="4">
        <f t="shared" si="171"/>
        <v>986</v>
      </c>
      <c r="ED27" s="4">
        <f t="shared" ref="ED27:EE27" si="172">ED18-ED25-ED24</f>
        <v>986</v>
      </c>
      <c r="EE27" s="4">
        <f t="shared" si="172"/>
        <v>986</v>
      </c>
      <c r="EF27" s="4">
        <f t="shared" ref="EF27:EG27" si="173">EF18-EF25-EF24</f>
        <v>986</v>
      </c>
      <c r="EG27" s="4">
        <f t="shared" si="173"/>
        <v>986</v>
      </c>
      <c r="EH27" s="4">
        <f t="shared" ref="EH27:EI27" si="174">EH18-EH25-EH24</f>
        <v>986</v>
      </c>
      <c r="EI27" s="4">
        <f t="shared" si="174"/>
        <v>986</v>
      </c>
      <c r="EJ27" s="4">
        <f t="shared" ref="EJ27:EK27" si="175">EJ18-EJ25-EJ24</f>
        <v>986</v>
      </c>
      <c r="EK27" s="4">
        <f t="shared" si="175"/>
        <v>986</v>
      </c>
      <c r="EL27" s="4">
        <f t="shared" ref="EL27:EM27" si="176">EL18-EL25-EL24</f>
        <v>986</v>
      </c>
      <c r="EM27" s="4">
        <f t="shared" si="176"/>
        <v>986</v>
      </c>
      <c r="EN27" s="4">
        <f t="shared" ref="EN27:EO27" si="177">EN18-EN25-EN24</f>
        <v>986</v>
      </c>
      <c r="EO27" s="4">
        <f t="shared" si="177"/>
        <v>986</v>
      </c>
      <c r="EP27" s="4">
        <f t="shared" ref="EP27:EQ27" si="178">EP18-EP25-EP24</f>
        <v>986</v>
      </c>
      <c r="EQ27" s="4">
        <f t="shared" si="178"/>
        <v>986</v>
      </c>
      <c r="ER27" s="4">
        <f t="shared" ref="ER27:ES27" si="179">ER18-ER25-ER24</f>
        <v>986</v>
      </c>
      <c r="ES27" s="4">
        <f t="shared" si="179"/>
        <v>986</v>
      </c>
      <c r="ET27" s="4">
        <f t="shared" ref="ET27:EU27" si="180">ET18-ET25-ET24</f>
        <v>986</v>
      </c>
      <c r="EU27" s="4">
        <f t="shared" si="180"/>
        <v>986</v>
      </c>
      <c r="EV27" s="4">
        <f t="shared" ref="EV27:EW27" si="181">EV18-EV25-EV24</f>
        <v>986</v>
      </c>
      <c r="EW27" s="4">
        <f t="shared" si="181"/>
        <v>986</v>
      </c>
      <c r="EX27" s="4">
        <f t="shared" ref="EX27:EY27" si="182">EX18-EX25-EX24</f>
        <v>986</v>
      </c>
      <c r="EY27" s="4">
        <f t="shared" si="182"/>
        <v>986</v>
      </c>
      <c r="EZ27" s="4">
        <f t="shared" ref="EZ27:FA27" si="183">EZ18-EZ25-EZ24</f>
        <v>986</v>
      </c>
      <c r="FA27" s="4">
        <f t="shared" si="183"/>
        <v>986</v>
      </c>
      <c r="FB27" s="4">
        <f t="shared" ref="FB27:FC27" si="184">FB18-FB25-FB24</f>
        <v>986</v>
      </c>
      <c r="FC27" s="4">
        <f t="shared" si="184"/>
        <v>986</v>
      </c>
      <c r="FD27" s="4">
        <f>FD18-FD25-FD24</f>
        <v>986</v>
      </c>
      <c r="FE27" s="4">
        <f>FE18-FE25-FE24</f>
        <v>985</v>
      </c>
      <c r="FF27" s="4">
        <f t="shared" ref="FF27" si="185">FF18-FF25-FF24</f>
        <v>985</v>
      </c>
      <c r="FG27" s="4">
        <f t="shared" ref="FG27:FH27" si="186">FG18-FG25-FG24</f>
        <v>985</v>
      </c>
      <c r="FH27" s="4">
        <f t="shared" si="186"/>
        <v>985</v>
      </c>
      <c r="FI27" s="4">
        <f t="shared" ref="FI27:FK27" si="187">FI18-FI25-FI24</f>
        <v>985</v>
      </c>
      <c r="FJ27" s="4">
        <f t="shared" si="187"/>
        <v>985</v>
      </c>
      <c r="FK27" s="4">
        <f t="shared" si="187"/>
        <v>985</v>
      </c>
      <c r="FL27" s="4">
        <f t="shared" ref="FL27:FM27" si="188">FL18-FL25-FL24</f>
        <v>985</v>
      </c>
      <c r="FM27" s="4">
        <f t="shared" si="188"/>
        <v>985</v>
      </c>
      <c r="FN27" s="4">
        <f t="shared" ref="FN27:FP27" si="189">FN18-FN25-FN24</f>
        <v>985</v>
      </c>
      <c r="FO27" s="4">
        <f t="shared" si="189"/>
        <v>985</v>
      </c>
      <c r="FP27" s="4">
        <f t="shared" si="189"/>
        <v>985</v>
      </c>
      <c r="FQ27" s="4">
        <f t="shared" ref="FQ27:HD27" si="190">FQ18-FQ25-FQ24</f>
        <v>985</v>
      </c>
      <c r="FR27" s="4">
        <f t="shared" si="190"/>
        <v>985</v>
      </c>
      <c r="FS27" s="4">
        <f t="shared" si="190"/>
        <v>985</v>
      </c>
      <c r="FT27" s="4">
        <f t="shared" si="190"/>
        <v>985</v>
      </c>
      <c r="FU27" s="4">
        <f t="shared" si="190"/>
        <v>985</v>
      </c>
      <c r="FV27" s="4">
        <f t="shared" si="190"/>
        <v>985</v>
      </c>
      <c r="FW27" s="4">
        <f t="shared" si="190"/>
        <v>985</v>
      </c>
      <c r="FX27" s="4">
        <f t="shared" si="190"/>
        <v>985</v>
      </c>
      <c r="FY27" s="4">
        <f t="shared" si="190"/>
        <v>985</v>
      </c>
      <c r="FZ27" s="4">
        <f t="shared" si="190"/>
        <v>985</v>
      </c>
      <c r="GA27" s="4">
        <f t="shared" si="190"/>
        <v>985</v>
      </c>
      <c r="GB27" s="4">
        <f t="shared" si="190"/>
        <v>985</v>
      </c>
      <c r="GC27" s="4">
        <f t="shared" si="190"/>
        <v>985</v>
      </c>
      <c r="GD27" s="4">
        <f t="shared" si="190"/>
        <v>985</v>
      </c>
      <c r="GE27" s="4">
        <f t="shared" si="190"/>
        <v>985</v>
      </c>
      <c r="GF27" s="4">
        <f t="shared" si="190"/>
        <v>985</v>
      </c>
      <c r="GG27" s="4">
        <f t="shared" si="190"/>
        <v>985</v>
      </c>
      <c r="GH27" s="4">
        <f t="shared" si="190"/>
        <v>985</v>
      </c>
      <c r="GI27" s="4">
        <f t="shared" si="190"/>
        <v>985</v>
      </c>
      <c r="GJ27" s="4">
        <f t="shared" si="190"/>
        <v>982</v>
      </c>
      <c r="GK27" s="4">
        <f t="shared" si="190"/>
        <v>980</v>
      </c>
      <c r="GL27" s="4">
        <f t="shared" si="190"/>
        <v>971</v>
      </c>
      <c r="GM27" s="4">
        <f t="shared" si="190"/>
        <v>957</v>
      </c>
      <c r="GN27" s="4">
        <f t="shared" si="190"/>
        <v>942</v>
      </c>
      <c r="GO27" s="4">
        <f t="shared" si="190"/>
        <v>918</v>
      </c>
      <c r="GP27" s="4">
        <f t="shared" si="190"/>
        <v>889</v>
      </c>
      <c r="GQ27" s="4">
        <f t="shared" si="190"/>
        <v>868</v>
      </c>
      <c r="GR27" s="4">
        <f t="shared" si="190"/>
        <v>842</v>
      </c>
      <c r="GS27" s="4">
        <f t="shared" si="190"/>
        <v>814</v>
      </c>
      <c r="GT27" s="4">
        <f t="shared" si="190"/>
        <v>764</v>
      </c>
      <c r="GU27" s="4">
        <f t="shared" si="190"/>
        <v>727</v>
      </c>
      <c r="GV27" s="4">
        <f t="shared" si="190"/>
        <v>692</v>
      </c>
      <c r="GW27" s="4">
        <f t="shared" si="190"/>
        <v>648</v>
      </c>
      <c r="GX27" s="4">
        <f t="shared" si="190"/>
        <v>620</v>
      </c>
      <c r="GY27" s="4">
        <f t="shared" si="190"/>
        <v>567</v>
      </c>
      <c r="GZ27" s="4">
        <f t="shared" si="190"/>
        <v>500</v>
      </c>
      <c r="HA27" s="4">
        <f t="shared" si="190"/>
        <v>424</v>
      </c>
      <c r="HB27" s="4">
        <f t="shared" si="190"/>
        <v>361</v>
      </c>
      <c r="HC27" s="4">
        <f t="shared" si="190"/>
        <v>293</v>
      </c>
      <c r="HD27" s="4">
        <f t="shared" si="190"/>
        <v>266</v>
      </c>
      <c r="HE27" s="4">
        <f t="shared" ref="HE27:IC27" si="191">HE18-HE25-HE24</f>
        <v>232</v>
      </c>
      <c r="HF27" s="4">
        <f t="shared" si="191"/>
        <v>198</v>
      </c>
      <c r="HG27" s="4">
        <f t="shared" si="191"/>
        <v>166</v>
      </c>
      <c r="HH27" s="4">
        <f t="shared" si="191"/>
        <v>128</v>
      </c>
      <c r="HI27" s="4">
        <f t="shared" si="191"/>
        <v>108</v>
      </c>
      <c r="HJ27" s="4">
        <f t="shared" si="191"/>
        <v>88</v>
      </c>
      <c r="HK27" s="4">
        <f t="shared" si="191"/>
        <v>73</v>
      </c>
      <c r="HL27" s="4">
        <f t="shared" si="191"/>
        <v>59</v>
      </c>
      <c r="HM27" s="4">
        <f t="shared" si="191"/>
        <v>47</v>
      </c>
      <c r="HN27" s="4">
        <f t="shared" si="191"/>
        <v>34</v>
      </c>
      <c r="HO27" s="4">
        <f t="shared" si="191"/>
        <v>23</v>
      </c>
      <c r="HP27" s="4">
        <f t="shared" si="191"/>
        <v>20</v>
      </c>
      <c r="HQ27" s="4">
        <f t="shared" si="191"/>
        <v>14</v>
      </c>
      <c r="HR27" s="4">
        <f t="shared" si="191"/>
        <v>7</v>
      </c>
      <c r="HS27" s="4">
        <f t="shared" si="191"/>
        <v>5</v>
      </c>
      <c r="HT27" s="4">
        <f t="shared" si="191"/>
        <v>3</v>
      </c>
      <c r="HU27" s="4">
        <f t="shared" si="191"/>
        <v>2</v>
      </c>
      <c r="HV27" s="4">
        <f t="shared" si="191"/>
        <v>2</v>
      </c>
      <c r="HW27" s="4">
        <f t="shared" si="191"/>
        <v>0</v>
      </c>
      <c r="HX27" s="4">
        <f t="shared" si="191"/>
        <v>0</v>
      </c>
      <c r="HY27" s="4">
        <f t="shared" si="191"/>
        <v>0</v>
      </c>
      <c r="HZ27" s="4">
        <f t="shared" si="191"/>
        <v>0</v>
      </c>
      <c r="IA27" s="4">
        <f t="shared" si="191"/>
        <v>0</v>
      </c>
      <c r="IB27" s="4">
        <f t="shared" si="191"/>
        <v>0</v>
      </c>
      <c r="IC27" s="4">
        <f t="shared" si="191"/>
        <v>0</v>
      </c>
    </row>
    <row r="28" spans="1:237">
      <c r="A28" s="4" t="s">
        <v>28</v>
      </c>
      <c r="B28" s="10">
        <f t="shared" ref="B28:C28" si="192">(B27)/B18</f>
        <v>0.99395161290322576</v>
      </c>
      <c r="C28" s="10">
        <f t="shared" si="192"/>
        <v>0.99395161290322576</v>
      </c>
      <c r="D28" s="10">
        <f t="shared" ref="D28:E28" si="193">(D27)/D18</f>
        <v>0.99395161290322576</v>
      </c>
      <c r="E28" s="10">
        <f t="shared" si="193"/>
        <v>0.99395161290322576</v>
      </c>
      <c r="F28" s="10">
        <f t="shared" ref="F28:G28" si="194">(F27)/F18</f>
        <v>0.99395161290322576</v>
      </c>
      <c r="G28" s="10">
        <f t="shared" si="194"/>
        <v>0.99395161290322576</v>
      </c>
      <c r="H28" s="10">
        <f t="shared" ref="H28:I28" si="195">(H27)/H18</f>
        <v>0.99395161290322576</v>
      </c>
      <c r="I28" s="10">
        <f t="shared" si="195"/>
        <v>0.99395161290322576</v>
      </c>
      <c r="J28" s="10">
        <f t="shared" ref="J28" si="196">(J27)/J18</f>
        <v>0.99395161290322576</v>
      </c>
      <c r="K28" s="10">
        <f t="shared" ref="K28" si="197">(K27)/K18</f>
        <v>0.99395161290322576</v>
      </c>
      <c r="L28" s="10">
        <f t="shared" ref="L28:M28" si="198">(L27)/L18</f>
        <v>0.99395161290322576</v>
      </c>
      <c r="M28" s="10">
        <f t="shared" si="198"/>
        <v>0.99395161290322576</v>
      </c>
      <c r="N28" s="10">
        <f t="shared" ref="N28:O28" si="199">(N27)/N18</f>
        <v>0.99395161290322576</v>
      </c>
      <c r="O28" s="10">
        <f t="shared" si="199"/>
        <v>0.99395161290322576</v>
      </c>
      <c r="P28" s="10">
        <f t="shared" ref="P28:Q28" si="200">(P27)/P18</f>
        <v>0.99395161290322576</v>
      </c>
      <c r="Q28" s="10">
        <f t="shared" si="200"/>
        <v>0.99395161290322576</v>
      </c>
      <c r="R28" s="10">
        <f t="shared" ref="R28:S28" si="201">(R27)/R18</f>
        <v>0.99395161290322576</v>
      </c>
      <c r="S28" s="10">
        <f t="shared" si="201"/>
        <v>0.99395161290322576</v>
      </c>
      <c r="T28" s="10">
        <f t="shared" ref="T28:U28" si="202">(T27)/T18</f>
        <v>0.99395161290322576</v>
      </c>
      <c r="U28" s="10">
        <f t="shared" si="202"/>
        <v>0.99395161290322576</v>
      </c>
      <c r="V28" s="10">
        <f t="shared" ref="V28:W28" si="203">(V27)/V18</f>
        <v>0.99395161290322576</v>
      </c>
      <c r="W28" s="10">
        <f t="shared" si="203"/>
        <v>0.99395161290322576</v>
      </c>
      <c r="X28" s="10">
        <f t="shared" ref="X28:Y28" si="204">(X27)/X18</f>
        <v>0.99395161290322576</v>
      </c>
      <c r="Y28" s="10">
        <f t="shared" si="204"/>
        <v>0.99395161290322576</v>
      </c>
      <c r="Z28" s="10">
        <f t="shared" ref="Z28:AA28" si="205">(Z27)/Z18</f>
        <v>0.99395161290322576</v>
      </c>
      <c r="AA28" s="10">
        <f t="shared" si="205"/>
        <v>0.99395161290322576</v>
      </c>
      <c r="AB28" s="10">
        <f t="shared" ref="AB28:AC28" si="206">(AB27)/AB18</f>
        <v>0.99395161290322576</v>
      </c>
      <c r="AC28" s="10">
        <f t="shared" si="206"/>
        <v>0.99395161290322576</v>
      </c>
      <c r="AD28" s="10">
        <f t="shared" ref="AD28:AE28" si="207">(AD27)/AD18</f>
        <v>0.99395161290322576</v>
      </c>
      <c r="AE28" s="10">
        <f t="shared" si="207"/>
        <v>0.99395161290322576</v>
      </c>
      <c r="AF28" s="10">
        <f t="shared" ref="AF28:AG28" si="208">(AF27)/AF18</f>
        <v>0.99395161290322576</v>
      </c>
      <c r="AG28" s="10">
        <f t="shared" si="208"/>
        <v>0.99395161290322576</v>
      </c>
      <c r="AH28" s="10">
        <f t="shared" ref="AH28:AI28" si="209">(AH27)/AH18</f>
        <v>0.99395161290322576</v>
      </c>
      <c r="AI28" s="10">
        <f t="shared" si="209"/>
        <v>0.99395161290322576</v>
      </c>
      <c r="AJ28" s="10">
        <f t="shared" ref="AJ28:AK28" si="210">(AJ27)/AJ18</f>
        <v>0.99395161290322576</v>
      </c>
      <c r="AK28" s="10">
        <f t="shared" si="210"/>
        <v>0.99395161290322576</v>
      </c>
      <c r="AL28" s="10">
        <f t="shared" ref="AL28" si="211">(AL27)/AL18</f>
        <v>0.99395161290322576</v>
      </c>
      <c r="AM28" s="10">
        <f t="shared" ref="AM28:AN28" si="212">(AM27)/AM18</f>
        <v>0.99395161290322576</v>
      </c>
      <c r="AN28" s="10">
        <f t="shared" si="212"/>
        <v>0.99395161290322576</v>
      </c>
      <c r="AO28" s="10">
        <f t="shared" ref="AO28" si="213">(AO27)/AO18</f>
        <v>0.99395161290322576</v>
      </c>
      <c r="AP28" s="10">
        <f t="shared" ref="AP28" si="214">(AP27)/AP18</f>
        <v>0.99395161290322576</v>
      </c>
      <c r="AQ28" s="10">
        <f t="shared" ref="AQ28" si="215">(AQ27)/AQ18</f>
        <v>0.99395161290322576</v>
      </c>
      <c r="AR28" s="10">
        <f t="shared" ref="AR28:AS28" si="216">(AR27)/AR18</f>
        <v>0.99395161290322576</v>
      </c>
      <c r="AS28" s="10">
        <f t="shared" si="216"/>
        <v>0.99395161290322576</v>
      </c>
      <c r="AT28" s="10">
        <f t="shared" ref="AT28:AU28" si="217">(AT27)/AT18</f>
        <v>0.99395161290322576</v>
      </c>
      <c r="AU28" s="10">
        <f t="shared" si="217"/>
        <v>0.99395161290322576</v>
      </c>
      <c r="AV28" s="10">
        <f t="shared" ref="AV28:AW28" si="218">(AV27)/AV18</f>
        <v>0.99395161290322576</v>
      </c>
      <c r="AW28" s="10">
        <f t="shared" si="218"/>
        <v>0.99395161290322576</v>
      </c>
      <c r="AX28" s="10">
        <f t="shared" ref="AX28:AY28" si="219">(AX27)/AX18</f>
        <v>0.99395161290322576</v>
      </c>
      <c r="AY28" s="10">
        <f t="shared" si="219"/>
        <v>0.99395161290322576</v>
      </c>
      <c r="AZ28" s="10">
        <f t="shared" ref="AZ28:BA28" si="220">(AZ27)/AZ18</f>
        <v>0.99395161290322576</v>
      </c>
      <c r="BA28" s="10">
        <f t="shared" si="220"/>
        <v>0.99395161290322576</v>
      </c>
      <c r="BB28" s="10">
        <f t="shared" ref="BB28:BC28" si="221">(BB27)/BB18</f>
        <v>0.99395161290322576</v>
      </c>
      <c r="BC28" s="10">
        <f t="shared" si="221"/>
        <v>0.99395161290322576</v>
      </c>
      <c r="BD28" s="10">
        <f t="shared" ref="BD28:BE28" si="222">(BD27)/BD18</f>
        <v>0.99395161290322576</v>
      </c>
      <c r="BE28" s="10">
        <f t="shared" si="222"/>
        <v>0.99395161290322576</v>
      </c>
      <c r="BF28" s="10">
        <f t="shared" ref="BF28:BG28" si="223">(BF27)/BF18</f>
        <v>0.99395161290322576</v>
      </c>
      <c r="BG28" s="10">
        <f t="shared" si="223"/>
        <v>0.99395161290322576</v>
      </c>
      <c r="BH28" s="10">
        <f t="shared" ref="BH28:BI28" si="224">(BH27)/BH18</f>
        <v>0.99395161290322576</v>
      </c>
      <c r="BI28" s="10">
        <f t="shared" si="224"/>
        <v>0.99395161290322576</v>
      </c>
      <c r="BJ28" s="10">
        <f t="shared" ref="BJ28:BK28" si="225">(BJ27)/BJ18</f>
        <v>0.99395161290322576</v>
      </c>
      <c r="BK28" s="10">
        <f t="shared" si="225"/>
        <v>0.99395161290322576</v>
      </c>
      <c r="BL28" s="10">
        <f t="shared" ref="BL28:BM28" si="226">(BL27)/BL18</f>
        <v>0.99395161290322576</v>
      </c>
      <c r="BM28" s="10">
        <f t="shared" si="226"/>
        <v>0.99395161290322576</v>
      </c>
      <c r="BN28" s="10">
        <f t="shared" ref="BN28:BO28" si="227">(BN27)/BN18</f>
        <v>0.99395161290322576</v>
      </c>
      <c r="BO28" s="10">
        <f t="shared" si="227"/>
        <v>0.99395161290322576</v>
      </c>
      <c r="BP28" s="10">
        <f t="shared" ref="BP28:BQ28" si="228">(BP27)/BP18</f>
        <v>0.99395161290322576</v>
      </c>
      <c r="BQ28" s="10">
        <f t="shared" si="228"/>
        <v>0.99395161290322576</v>
      </c>
      <c r="BR28" s="10">
        <f t="shared" ref="BR28:BS28" si="229">(BR27)/BR18</f>
        <v>0.99395161290322576</v>
      </c>
      <c r="BS28" s="10">
        <f t="shared" si="229"/>
        <v>0.99395161290322576</v>
      </c>
      <c r="BT28" s="10">
        <f t="shared" ref="BT28:BU28" si="230">(BT27)/BT18</f>
        <v>0.99395161290322576</v>
      </c>
      <c r="BU28" s="10">
        <f t="shared" si="230"/>
        <v>0.99395161290322576</v>
      </c>
      <c r="BV28" s="10">
        <f t="shared" ref="BV28:BW28" si="231">(BV27)/BV18</f>
        <v>0.99395161290322576</v>
      </c>
      <c r="BW28" s="10">
        <f t="shared" si="231"/>
        <v>0.99395161290322576</v>
      </c>
      <c r="BX28" s="10">
        <f t="shared" ref="BX28:BY28" si="232">(BX27)/BX18</f>
        <v>0.99395161290322576</v>
      </c>
      <c r="BY28" s="10">
        <f t="shared" si="232"/>
        <v>0.99395161290322576</v>
      </c>
      <c r="BZ28" s="10">
        <f t="shared" ref="BZ28:CA28" si="233">(BZ27)/BZ18</f>
        <v>0.99395161290322576</v>
      </c>
      <c r="CA28" s="10">
        <f t="shared" si="233"/>
        <v>0.99395161290322576</v>
      </c>
      <c r="CB28" s="10">
        <f t="shared" ref="CB28:CC28" si="234">(CB27)/CB18</f>
        <v>0.99395161290322576</v>
      </c>
      <c r="CC28" s="10">
        <f t="shared" si="234"/>
        <v>0.99395161290322576</v>
      </c>
      <c r="CD28" s="10">
        <f t="shared" ref="CD28:CE28" si="235">(CD27)/CD18</f>
        <v>0.99395161290322576</v>
      </c>
      <c r="CE28" s="10">
        <f t="shared" si="235"/>
        <v>0.99395161290322576</v>
      </c>
      <c r="CF28" s="10">
        <f t="shared" ref="CF28:CG28" si="236">(CF27)/CF18</f>
        <v>0.99395161290322576</v>
      </c>
      <c r="CG28" s="10">
        <f t="shared" si="236"/>
        <v>0.99395161290322576</v>
      </c>
      <c r="CH28" s="10">
        <f t="shared" ref="CH28:CI28" si="237">(CH27)/CH18</f>
        <v>0.99395161290322576</v>
      </c>
      <c r="CI28" s="10">
        <f t="shared" si="237"/>
        <v>0.99395161290322576</v>
      </c>
      <c r="CJ28" s="10">
        <f t="shared" ref="CJ28" si="238">(CJ27)/CJ18</f>
        <v>0.99395161290322576</v>
      </c>
      <c r="CK28" s="10">
        <f t="shared" ref="CK28" si="239">(CK27)/CK18</f>
        <v>0.99395161290322576</v>
      </c>
      <c r="CL28" s="10">
        <f t="shared" ref="CL28:CM28" si="240">(CL27)/CL18</f>
        <v>0.99395161290322576</v>
      </c>
      <c r="CM28" s="10">
        <f t="shared" si="240"/>
        <v>0.99395161290322576</v>
      </c>
      <c r="CN28" s="10">
        <f t="shared" ref="CN28:CO28" si="241">(CN27)/CN18</f>
        <v>0.99395161290322576</v>
      </c>
      <c r="CO28" s="10">
        <f t="shared" si="241"/>
        <v>0.99395161290322576</v>
      </c>
      <c r="CP28" s="10">
        <f t="shared" ref="CP28" si="242">(CP27)/CP18</f>
        <v>0.99395161290322576</v>
      </c>
      <c r="CQ28" s="10">
        <f t="shared" ref="CQ28:CR28" si="243">(CQ27)/CQ18</f>
        <v>0.99395161290322576</v>
      </c>
      <c r="CR28" s="10">
        <f t="shared" si="243"/>
        <v>0.99395161290322576</v>
      </c>
      <c r="CS28" s="10">
        <f t="shared" ref="CS28:CT28" si="244">(CS27)/CS18</f>
        <v>0.99395161290322576</v>
      </c>
      <c r="CT28" s="10">
        <f t="shared" si="244"/>
        <v>0.99395161290322576</v>
      </c>
      <c r="CU28" s="10">
        <f t="shared" ref="CU28" si="245">(CU27)/CU18</f>
        <v>0.99395161290322576</v>
      </c>
      <c r="CV28" s="10">
        <f t="shared" ref="CV28:CW28" si="246">(CV27)/CV18</f>
        <v>0.99395161290322576</v>
      </c>
      <c r="CW28" s="10">
        <f t="shared" si="246"/>
        <v>0.99395161290322576</v>
      </c>
      <c r="CX28" s="10">
        <f t="shared" ref="CX28:CY28" si="247">(CX27)/CX18</f>
        <v>0.99395161290322576</v>
      </c>
      <c r="CY28" s="10">
        <f t="shared" si="247"/>
        <v>0.99395161290322576</v>
      </c>
      <c r="CZ28" s="10">
        <f t="shared" ref="CZ28:DA28" si="248">(CZ27)/CZ18</f>
        <v>0.99395161290322576</v>
      </c>
      <c r="DA28" s="10">
        <f t="shared" si="248"/>
        <v>0.99395161290322576</v>
      </c>
      <c r="DB28" s="10">
        <f t="shared" ref="DB28:DC28" si="249">(DB27)/DB18</f>
        <v>0.99395161290322576</v>
      </c>
      <c r="DC28" s="10">
        <f t="shared" si="249"/>
        <v>0.99395161290322576</v>
      </c>
      <c r="DD28" s="10">
        <f t="shared" ref="DD28:DE28" si="250">(DD27)/DD18</f>
        <v>0.99395161290322576</v>
      </c>
      <c r="DE28" s="10">
        <f t="shared" si="250"/>
        <v>0.99395161290322576</v>
      </c>
      <c r="DF28" s="10">
        <f t="shared" ref="DF28" si="251">(DF27)/DF18</f>
        <v>0.99395161290322576</v>
      </c>
      <c r="DG28" s="10">
        <f t="shared" ref="DG28:DH28" si="252">(DG27)/DG18</f>
        <v>0.99395161290322576</v>
      </c>
      <c r="DH28" s="10">
        <f t="shared" si="252"/>
        <v>0.99395161290322576</v>
      </c>
      <c r="DI28" s="10">
        <f t="shared" ref="DI28" si="253">(DI27)/DI18</f>
        <v>0.99395161290322576</v>
      </c>
      <c r="DJ28" s="10">
        <f t="shared" ref="DJ28:DK28" si="254">(DJ27)/DJ18</f>
        <v>0.99395161290322576</v>
      </c>
      <c r="DK28" s="10">
        <f t="shared" si="254"/>
        <v>0.99395161290322576</v>
      </c>
      <c r="DL28" s="10">
        <f t="shared" ref="DL28:DM28" si="255">(DL27)/DL18</f>
        <v>0.99395161290322576</v>
      </c>
      <c r="DM28" s="10">
        <f t="shared" si="255"/>
        <v>0.99395161290322576</v>
      </c>
      <c r="DN28" s="10">
        <f t="shared" ref="DN28" si="256">(DN27)/DN18</f>
        <v>0.99395161290322576</v>
      </c>
      <c r="DO28" s="10">
        <f t="shared" ref="DO28:DP28" si="257">(DO27)/DO18</f>
        <v>0.99395161290322576</v>
      </c>
      <c r="DP28" s="10">
        <f t="shared" si="257"/>
        <v>0.99395161290322576</v>
      </c>
      <c r="DQ28" s="10">
        <f t="shared" ref="DQ28:DR28" si="258">(DQ27)/DQ18</f>
        <v>0.99395161290322576</v>
      </c>
      <c r="DR28" s="10">
        <f t="shared" si="258"/>
        <v>0.99395161290322576</v>
      </c>
      <c r="DS28" s="10">
        <f t="shared" ref="DS28:DT28" si="259">(DS27)/DS18</f>
        <v>0.99395161290322576</v>
      </c>
      <c r="DT28" s="10">
        <f t="shared" si="259"/>
        <v>0.99395161290322576</v>
      </c>
      <c r="DU28" s="10">
        <f t="shared" ref="DU28:DV28" si="260">(DU27)/DU18</f>
        <v>0.99395161290322576</v>
      </c>
      <c r="DV28" s="10">
        <f t="shared" si="260"/>
        <v>0.99395161290322576</v>
      </c>
      <c r="DW28" s="10">
        <f t="shared" ref="DW28:DX28" si="261">(DW27)/DW18</f>
        <v>0.99395161290322576</v>
      </c>
      <c r="DX28" s="10">
        <f t="shared" si="261"/>
        <v>0.99395161290322576</v>
      </c>
      <c r="DY28" s="10">
        <f t="shared" ref="DY28" si="262">(DY27)/DY18</f>
        <v>0.99395161290322576</v>
      </c>
      <c r="DZ28" s="10">
        <f t="shared" ref="DZ28:EA28" si="263">(DZ27)/DZ18</f>
        <v>0.99395161290322576</v>
      </c>
      <c r="EA28" s="10">
        <f t="shared" si="263"/>
        <v>0.99395161290322576</v>
      </c>
      <c r="EB28" s="10">
        <f t="shared" ref="EB28:EC28" si="264">(EB27)/EB18</f>
        <v>0.99395161290322576</v>
      </c>
      <c r="EC28" s="10">
        <f t="shared" si="264"/>
        <v>0.99395161290322576</v>
      </c>
      <c r="ED28" s="10">
        <f t="shared" ref="ED28:EE28" si="265">(ED27)/ED18</f>
        <v>0.99395161290322576</v>
      </c>
      <c r="EE28" s="10">
        <f t="shared" si="265"/>
        <v>0.99395161290322576</v>
      </c>
      <c r="EF28" s="10">
        <f t="shared" ref="EF28:EG28" si="266">(EF27)/EF18</f>
        <v>0.99395161290322576</v>
      </c>
      <c r="EG28" s="10">
        <f t="shared" si="266"/>
        <v>0.99395161290322576</v>
      </c>
      <c r="EH28" s="10">
        <f t="shared" ref="EH28:EI28" si="267">(EH27)/EH18</f>
        <v>0.99395161290322576</v>
      </c>
      <c r="EI28" s="10">
        <f t="shared" si="267"/>
        <v>0.99395161290322576</v>
      </c>
      <c r="EJ28" s="10">
        <f t="shared" ref="EJ28:EK28" si="268">(EJ27)/EJ18</f>
        <v>0.99395161290322576</v>
      </c>
      <c r="EK28" s="10">
        <f t="shared" si="268"/>
        <v>0.99395161290322576</v>
      </c>
      <c r="EL28" s="10">
        <f t="shared" ref="EL28:EM28" si="269">(EL27)/EL18</f>
        <v>0.99395161290322576</v>
      </c>
      <c r="EM28" s="10">
        <f t="shared" si="269"/>
        <v>0.99395161290322576</v>
      </c>
      <c r="EN28" s="10">
        <f t="shared" ref="EN28:EO28" si="270">(EN27)/EN18</f>
        <v>0.99395161290322576</v>
      </c>
      <c r="EO28" s="10">
        <f t="shared" si="270"/>
        <v>0.99395161290322576</v>
      </c>
      <c r="EP28" s="10">
        <f t="shared" ref="EP28:EQ28" si="271">(EP27)/EP18</f>
        <v>0.99395161290322576</v>
      </c>
      <c r="EQ28" s="10">
        <f t="shared" si="271"/>
        <v>0.99395161290322576</v>
      </c>
      <c r="ER28" s="10">
        <f t="shared" ref="ER28:ES28" si="272">(ER27)/ER18</f>
        <v>0.99395161290322576</v>
      </c>
      <c r="ES28" s="10">
        <f t="shared" si="272"/>
        <v>0.99395161290322576</v>
      </c>
      <c r="ET28" s="10">
        <f t="shared" ref="ET28:EU28" si="273">(ET27)/ET18</f>
        <v>0.99395161290322576</v>
      </c>
      <c r="EU28" s="10">
        <f t="shared" si="273"/>
        <v>0.99395161290322576</v>
      </c>
      <c r="EV28" s="10">
        <f t="shared" ref="EV28:EW28" si="274">(EV27)/EV18</f>
        <v>0.99395161290322576</v>
      </c>
      <c r="EW28" s="10">
        <f t="shared" si="274"/>
        <v>0.99395161290322576</v>
      </c>
      <c r="EX28" s="10">
        <f t="shared" ref="EX28:FD28" si="275">(EX27)/EX18</f>
        <v>0.99395161290322576</v>
      </c>
      <c r="EY28" s="10">
        <f t="shared" si="275"/>
        <v>0.99395161290322576</v>
      </c>
      <c r="EZ28" s="10">
        <f t="shared" si="275"/>
        <v>0.99395161290322576</v>
      </c>
      <c r="FA28" s="10">
        <f t="shared" si="275"/>
        <v>0.99395161290322576</v>
      </c>
      <c r="FB28" s="10">
        <f t="shared" si="275"/>
        <v>0.99395161290322576</v>
      </c>
      <c r="FC28" s="10">
        <f t="shared" si="275"/>
        <v>0.99395161290322576</v>
      </c>
      <c r="FD28" s="10">
        <f t="shared" si="275"/>
        <v>0.99395161290322576</v>
      </c>
      <c r="FE28" s="10">
        <f t="shared" ref="FE28:FF28" si="276">(FE27)/FE18</f>
        <v>0.99394550958627648</v>
      </c>
      <c r="FF28" s="10">
        <f t="shared" si="276"/>
        <v>0.99394550958627648</v>
      </c>
      <c r="FG28" s="10">
        <f t="shared" ref="FG28:FH28" si="277">(FG27)/FG18</f>
        <v>0.99394550958627648</v>
      </c>
      <c r="FH28" s="10">
        <f t="shared" si="277"/>
        <v>0.99394550958627648</v>
      </c>
      <c r="FI28" s="10">
        <f t="shared" ref="FI28:FM28" si="278">(FI27)/FI18</f>
        <v>0.99394550958627648</v>
      </c>
      <c r="FJ28" s="10">
        <f t="shared" si="278"/>
        <v>0.99394550958627648</v>
      </c>
      <c r="FK28" s="10">
        <f t="shared" si="278"/>
        <v>0.99394550958627648</v>
      </c>
      <c r="FL28" s="10">
        <f t="shared" si="278"/>
        <v>0.99394550958627648</v>
      </c>
      <c r="FM28" s="10">
        <f t="shared" si="278"/>
        <v>0.99394550958627648</v>
      </c>
      <c r="FN28" s="10">
        <f t="shared" ref="FN28:HD28" si="279">(FN27)/FN18</f>
        <v>0.99394550958627648</v>
      </c>
      <c r="FO28" s="10">
        <f t="shared" si="279"/>
        <v>0.99394550958627648</v>
      </c>
      <c r="FP28" s="10">
        <f t="shared" si="279"/>
        <v>0.99394550958627648</v>
      </c>
      <c r="FQ28" s="10">
        <f t="shared" si="279"/>
        <v>0.99394550958627648</v>
      </c>
      <c r="FR28" s="10">
        <f t="shared" si="279"/>
        <v>0.99394550958627648</v>
      </c>
      <c r="FS28" s="10">
        <f t="shared" si="279"/>
        <v>0.99394550958627648</v>
      </c>
      <c r="FT28" s="10">
        <f t="shared" si="279"/>
        <v>0.99394550958627648</v>
      </c>
      <c r="FU28" s="10">
        <f t="shared" si="279"/>
        <v>0.99394550958627648</v>
      </c>
      <c r="FV28" s="10">
        <f t="shared" si="279"/>
        <v>0.99394550958627648</v>
      </c>
      <c r="FW28" s="10">
        <f t="shared" si="279"/>
        <v>0.99394550958627648</v>
      </c>
      <c r="FX28" s="10">
        <f t="shared" si="279"/>
        <v>0.99394550958627648</v>
      </c>
      <c r="FY28" s="10">
        <f t="shared" si="279"/>
        <v>0.99394550958627648</v>
      </c>
      <c r="FZ28" s="10">
        <f t="shared" si="279"/>
        <v>0.99394550958627648</v>
      </c>
      <c r="GA28" s="10">
        <f t="shared" si="279"/>
        <v>0.99394550958627648</v>
      </c>
      <c r="GB28" s="10">
        <f t="shared" si="279"/>
        <v>0.99394550958627648</v>
      </c>
      <c r="GC28" s="10">
        <f t="shared" si="279"/>
        <v>0.99394550958627648</v>
      </c>
      <c r="GD28" s="10">
        <f t="shared" si="279"/>
        <v>0.99394550958627648</v>
      </c>
      <c r="GE28" s="10">
        <f t="shared" si="279"/>
        <v>0.99394550958627648</v>
      </c>
      <c r="GF28" s="10">
        <f t="shared" si="279"/>
        <v>0.99394550958627648</v>
      </c>
      <c r="GG28" s="10">
        <f t="shared" si="279"/>
        <v>0.99394550958627648</v>
      </c>
      <c r="GH28" s="10">
        <f t="shared" si="279"/>
        <v>0.99394550958627648</v>
      </c>
      <c r="GI28" s="10">
        <f t="shared" si="279"/>
        <v>0.99394550958627648</v>
      </c>
      <c r="GJ28" s="10">
        <f t="shared" si="279"/>
        <v>0.99091826437941477</v>
      </c>
      <c r="GK28" s="10">
        <f t="shared" si="279"/>
        <v>0.9889001009081736</v>
      </c>
      <c r="GL28" s="10">
        <f t="shared" si="279"/>
        <v>0.97981836528758826</v>
      </c>
      <c r="GM28" s="10">
        <f t="shared" si="279"/>
        <v>0.96569122098890015</v>
      </c>
      <c r="GN28" s="10">
        <f t="shared" si="279"/>
        <v>0.95055499495459128</v>
      </c>
      <c r="GO28" s="10">
        <f t="shared" si="279"/>
        <v>0.9263370332996973</v>
      </c>
      <c r="GP28" s="10">
        <f t="shared" si="279"/>
        <v>0.89707366296670032</v>
      </c>
      <c r="GQ28" s="10">
        <f t="shared" si="279"/>
        <v>0.87676767676767675</v>
      </c>
      <c r="GR28" s="10">
        <f t="shared" si="279"/>
        <v>0.85050505050505054</v>
      </c>
      <c r="GS28" s="10">
        <f t="shared" si="279"/>
        <v>0.82222222222222219</v>
      </c>
      <c r="GT28" s="10">
        <f t="shared" si="279"/>
        <v>0.77249747219413545</v>
      </c>
      <c r="GU28" s="10">
        <f t="shared" si="279"/>
        <v>0.73508594539939331</v>
      </c>
      <c r="GV28" s="10">
        <f t="shared" si="279"/>
        <v>0.6996966632962589</v>
      </c>
      <c r="GW28" s="10">
        <f t="shared" si="279"/>
        <v>0.6552072800808898</v>
      </c>
      <c r="GX28" s="10">
        <f t="shared" si="279"/>
        <v>0.62689585439838225</v>
      </c>
      <c r="GY28" s="10">
        <f t="shared" si="279"/>
        <v>0.57330637007077856</v>
      </c>
      <c r="GZ28" s="10">
        <f t="shared" si="279"/>
        <v>0.50607287449392713</v>
      </c>
      <c r="HA28" s="10">
        <f t="shared" si="279"/>
        <v>0.42958459979736574</v>
      </c>
      <c r="HB28" s="10">
        <f t="shared" si="279"/>
        <v>0.3661257606490872</v>
      </c>
      <c r="HC28" s="10">
        <f t="shared" si="279"/>
        <v>0.29837067209775969</v>
      </c>
      <c r="HD28" s="10">
        <f t="shared" si="279"/>
        <v>0.2733812949640288</v>
      </c>
      <c r="HE28" s="10">
        <f t="shared" ref="HE28" si="280">HE27/HE18</f>
        <v>0.24116424116424118</v>
      </c>
      <c r="HF28" s="10">
        <f>HF27/HF18</f>
        <v>0.20842105263157895</v>
      </c>
      <c r="HG28" s="10">
        <f t="shared" ref="HG28:IC28" si="281">HG27/HG18</f>
        <v>0.17773019271948609</v>
      </c>
      <c r="HH28" s="10">
        <f t="shared" si="281"/>
        <v>0.14065934065934066</v>
      </c>
      <c r="HI28" s="10">
        <f t="shared" si="281"/>
        <v>0.12148481439820022</v>
      </c>
      <c r="HJ28" s="10">
        <f t="shared" si="281"/>
        <v>0.10232558139534884</v>
      </c>
      <c r="HK28" s="10">
        <f t="shared" si="281"/>
        <v>8.7951807228915657E-2</v>
      </c>
      <c r="HL28" s="10">
        <f t="shared" si="281"/>
        <v>7.5738125802310652E-2</v>
      </c>
      <c r="HM28" s="10">
        <f t="shared" si="281"/>
        <v>6.4120054570259211E-2</v>
      </c>
      <c r="HN28" s="10">
        <f t="shared" si="281"/>
        <v>5.1127819548872182E-2</v>
      </c>
      <c r="HO28" s="10">
        <f t="shared" si="281"/>
        <v>3.8917089678510999E-2</v>
      </c>
      <c r="HP28" s="10">
        <f t="shared" si="281"/>
        <v>3.7735849056603772E-2</v>
      </c>
      <c r="HQ28" s="10">
        <f t="shared" si="281"/>
        <v>2.9166666666666667E-2</v>
      </c>
      <c r="HR28" s="10">
        <f t="shared" si="281"/>
        <v>1.7156862745098041E-2</v>
      </c>
      <c r="HS28" s="10">
        <f t="shared" si="281"/>
        <v>1.4705882352941176E-2</v>
      </c>
      <c r="HT28" s="10">
        <f t="shared" si="281"/>
        <v>1.0101010101010102E-2</v>
      </c>
      <c r="HU28" s="10">
        <f t="shared" si="281"/>
        <v>8.4388185654008432E-3</v>
      </c>
      <c r="HV28" s="10">
        <f t="shared" si="281"/>
        <v>0.01</v>
      </c>
      <c r="HW28" s="10">
        <f t="shared" si="281"/>
        <v>0</v>
      </c>
      <c r="HX28" s="10">
        <f t="shared" si="281"/>
        <v>0</v>
      </c>
      <c r="HY28" s="10">
        <f t="shared" si="281"/>
        <v>0</v>
      </c>
      <c r="HZ28" s="10">
        <f t="shared" si="281"/>
        <v>0</v>
      </c>
      <c r="IA28" s="10">
        <f t="shared" si="281"/>
        <v>0</v>
      </c>
      <c r="IB28" s="10">
        <f t="shared" si="281"/>
        <v>0</v>
      </c>
      <c r="IC28" s="10">
        <f t="shared" si="281"/>
        <v>0</v>
      </c>
    </row>
    <row r="29" spans="1:237">
      <c r="A29" s="4" t="s">
        <v>29</v>
      </c>
      <c r="B29" s="10">
        <f t="shared" ref="B29:C29" si="282">B24/B18</f>
        <v>6.0483870967741934E-3</v>
      </c>
      <c r="C29" s="10">
        <f t="shared" si="282"/>
        <v>6.0483870967741934E-3</v>
      </c>
      <c r="D29" s="10">
        <f t="shared" ref="D29:E29" si="283">D24/D18</f>
        <v>6.0483870967741934E-3</v>
      </c>
      <c r="E29" s="10">
        <f t="shared" si="283"/>
        <v>6.0483870967741934E-3</v>
      </c>
      <c r="F29" s="10">
        <f t="shared" ref="F29:G29" si="284">F24/F18</f>
        <v>6.0483870967741934E-3</v>
      </c>
      <c r="G29" s="10">
        <f t="shared" si="284"/>
        <v>6.0483870967741934E-3</v>
      </c>
      <c r="H29" s="10">
        <f t="shared" ref="H29:I29" si="285">H24/H18</f>
        <v>6.0483870967741934E-3</v>
      </c>
      <c r="I29" s="10">
        <f t="shared" si="285"/>
        <v>6.0483870967741934E-3</v>
      </c>
      <c r="J29" s="10">
        <f t="shared" ref="J29" si="286">J24/J18</f>
        <v>6.0483870967741934E-3</v>
      </c>
      <c r="K29" s="10">
        <f t="shared" ref="K29" si="287">K24/K18</f>
        <v>6.0483870967741934E-3</v>
      </c>
      <c r="L29" s="10">
        <f t="shared" ref="L29:M29" si="288">L24/L18</f>
        <v>6.0483870967741934E-3</v>
      </c>
      <c r="M29" s="10">
        <f t="shared" si="288"/>
        <v>6.0483870967741934E-3</v>
      </c>
      <c r="N29" s="10">
        <f t="shared" ref="N29:O29" si="289">N24/N18</f>
        <v>6.0483870967741934E-3</v>
      </c>
      <c r="O29" s="10">
        <f t="shared" si="289"/>
        <v>6.0483870967741934E-3</v>
      </c>
      <c r="P29" s="10">
        <f t="shared" ref="P29:Q29" si="290">P24/P18</f>
        <v>6.0483870967741934E-3</v>
      </c>
      <c r="Q29" s="10">
        <f t="shared" si="290"/>
        <v>6.0483870967741934E-3</v>
      </c>
      <c r="R29" s="10">
        <f t="shared" ref="R29:S29" si="291">R24/R18</f>
        <v>6.0483870967741934E-3</v>
      </c>
      <c r="S29" s="10">
        <f t="shared" si="291"/>
        <v>6.0483870967741934E-3</v>
      </c>
      <c r="T29" s="10">
        <f t="shared" ref="T29:U29" si="292">T24/T18</f>
        <v>6.0483870967741934E-3</v>
      </c>
      <c r="U29" s="10">
        <f t="shared" si="292"/>
        <v>6.0483870967741934E-3</v>
      </c>
      <c r="V29" s="10">
        <f t="shared" ref="V29:W29" si="293">V24/V18</f>
        <v>6.0483870967741934E-3</v>
      </c>
      <c r="W29" s="10">
        <f t="shared" si="293"/>
        <v>6.0483870967741934E-3</v>
      </c>
      <c r="X29" s="10">
        <f t="shared" ref="X29:Y29" si="294">X24/X18</f>
        <v>6.0483870967741934E-3</v>
      </c>
      <c r="Y29" s="10">
        <f t="shared" si="294"/>
        <v>6.0483870967741934E-3</v>
      </c>
      <c r="Z29" s="10">
        <f t="shared" ref="Z29:AA29" si="295">Z24/Z18</f>
        <v>6.0483870967741934E-3</v>
      </c>
      <c r="AA29" s="10">
        <f t="shared" si="295"/>
        <v>6.0483870967741934E-3</v>
      </c>
      <c r="AB29" s="10">
        <f t="shared" ref="AB29:AC29" si="296">AB24/AB18</f>
        <v>6.0483870967741934E-3</v>
      </c>
      <c r="AC29" s="10">
        <f t="shared" si="296"/>
        <v>6.0483870967741934E-3</v>
      </c>
      <c r="AD29" s="10">
        <f t="shared" ref="AD29:AE29" si="297">AD24/AD18</f>
        <v>6.0483870967741934E-3</v>
      </c>
      <c r="AE29" s="10">
        <f t="shared" si="297"/>
        <v>6.0483870967741934E-3</v>
      </c>
      <c r="AF29" s="10">
        <f t="shared" ref="AF29:AG29" si="298">AF24/AF18</f>
        <v>6.0483870967741934E-3</v>
      </c>
      <c r="AG29" s="10">
        <f t="shared" si="298"/>
        <v>6.0483870967741934E-3</v>
      </c>
      <c r="AH29" s="10">
        <f t="shared" ref="AH29:AI29" si="299">AH24/AH18</f>
        <v>6.0483870967741934E-3</v>
      </c>
      <c r="AI29" s="10">
        <f t="shared" si="299"/>
        <v>6.0483870967741934E-3</v>
      </c>
      <c r="AJ29" s="10">
        <f t="shared" ref="AJ29:AK29" si="300">AJ24/AJ18</f>
        <v>6.0483870967741934E-3</v>
      </c>
      <c r="AK29" s="10">
        <f t="shared" si="300"/>
        <v>6.0483870967741934E-3</v>
      </c>
      <c r="AL29" s="10">
        <f t="shared" ref="AL29" si="301">AL24/AL18</f>
        <v>6.0483870967741934E-3</v>
      </c>
      <c r="AM29" s="10">
        <f t="shared" ref="AM29:AN29" si="302">AM24/AM18</f>
        <v>6.0483870967741934E-3</v>
      </c>
      <c r="AN29" s="10">
        <f t="shared" si="302"/>
        <v>6.0483870967741934E-3</v>
      </c>
      <c r="AO29" s="10">
        <f t="shared" ref="AO29" si="303">AO24/AO18</f>
        <v>6.0483870967741934E-3</v>
      </c>
      <c r="AP29" s="10">
        <f t="shared" ref="AP29" si="304">AP24/AP18</f>
        <v>6.0483870967741934E-3</v>
      </c>
      <c r="AQ29" s="10">
        <f t="shared" ref="AQ29" si="305">AQ24/AQ18</f>
        <v>6.0483870967741934E-3</v>
      </c>
      <c r="AR29" s="10">
        <f t="shared" ref="AR29:AS29" si="306">AR24/AR18</f>
        <v>6.0483870967741934E-3</v>
      </c>
      <c r="AS29" s="10">
        <f t="shared" si="306"/>
        <v>6.0483870967741934E-3</v>
      </c>
      <c r="AT29" s="10">
        <f t="shared" ref="AT29:AU29" si="307">AT24/AT18</f>
        <v>6.0483870967741934E-3</v>
      </c>
      <c r="AU29" s="10">
        <f t="shared" si="307"/>
        <v>6.0483870967741934E-3</v>
      </c>
      <c r="AV29" s="10">
        <f t="shared" ref="AV29:AW29" si="308">AV24/AV18</f>
        <v>6.0483870967741934E-3</v>
      </c>
      <c r="AW29" s="10">
        <f t="shared" si="308"/>
        <v>6.0483870967741934E-3</v>
      </c>
      <c r="AX29" s="10">
        <f t="shared" ref="AX29:AY29" si="309">AX24/AX18</f>
        <v>6.0483870967741934E-3</v>
      </c>
      <c r="AY29" s="10">
        <f t="shared" si="309"/>
        <v>6.0483870967741934E-3</v>
      </c>
      <c r="AZ29" s="10">
        <f t="shared" ref="AZ29:BA29" si="310">AZ24/AZ18</f>
        <v>6.0483870967741934E-3</v>
      </c>
      <c r="BA29" s="10">
        <f t="shared" si="310"/>
        <v>6.0483870967741934E-3</v>
      </c>
      <c r="BB29" s="10">
        <f t="shared" ref="BB29:BC29" si="311">BB24/BB18</f>
        <v>6.0483870967741934E-3</v>
      </c>
      <c r="BC29" s="10">
        <f t="shared" si="311"/>
        <v>6.0483870967741934E-3</v>
      </c>
      <c r="BD29" s="10">
        <f t="shared" ref="BD29:BE29" si="312">BD24/BD18</f>
        <v>6.0483870967741934E-3</v>
      </c>
      <c r="BE29" s="10">
        <f t="shared" si="312"/>
        <v>6.0483870967741934E-3</v>
      </c>
      <c r="BF29" s="10">
        <f t="shared" ref="BF29:BG29" si="313">BF24/BF18</f>
        <v>6.0483870967741934E-3</v>
      </c>
      <c r="BG29" s="10">
        <f t="shared" si="313"/>
        <v>6.0483870967741934E-3</v>
      </c>
      <c r="BH29" s="10">
        <f t="shared" ref="BH29:BI29" si="314">BH24/BH18</f>
        <v>6.0483870967741934E-3</v>
      </c>
      <c r="BI29" s="10">
        <f t="shared" si="314"/>
        <v>6.0483870967741934E-3</v>
      </c>
      <c r="BJ29" s="10">
        <f t="shared" ref="BJ29:BK29" si="315">BJ24/BJ18</f>
        <v>6.0483870967741934E-3</v>
      </c>
      <c r="BK29" s="10">
        <f t="shared" si="315"/>
        <v>6.0483870967741934E-3</v>
      </c>
      <c r="BL29" s="10">
        <f t="shared" ref="BL29:BM29" si="316">BL24/BL18</f>
        <v>6.0483870967741934E-3</v>
      </c>
      <c r="BM29" s="10">
        <f t="shared" si="316"/>
        <v>6.0483870967741934E-3</v>
      </c>
      <c r="BN29" s="10">
        <f t="shared" ref="BN29:BO29" si="317">BN24/BN18</f>
        <v>6.0483870967741934E-3</v>
      </c>
      <c r="BO29" s="10">
        <f t="shared" si="317"/>
        <v>6.0483870967741934E-3</v>
      </c>
      <c r="BP29" s="10">
        <f t="shared" ref="BP29:BQ29" si="318">BP24/BP18</f>
        <v>6.0483870967741934E-3</v>
      </c>
      <c r="BQ29" s="10">
        <f t="shared" si="318"/>
        <v>6.0483870967741934E-3</v>
      </c>
      <c r="BR29" s="10">
        <f t="shared" ref="BR29:BS29" si="319">BR24/BR18</f>
        <v>6.0483870967741934E-3</v>
      </c>
      <c r="BS29" s="10">
        <f t="shared" si="319"/>
        <v>6.0483870967741934E-3</v>
      </c>
      <c r="BT29" s="10">
        <f t="shared" ref="BT29:BU29" si="320">BT24/BT18</f>
        <v>6.0483870967741934E-3</v>
      </c>
      <c r="BU29" s="10">
        <f t="shared" si="320"/>
        <v>6.0483870967741934E-3</v>
      </c>
      <c r="BV29" s="10">
        <f t="shared" ref="BV29:BW29" si="321">BV24/BV18</f>
        <v>6.0483870967741934E-3</v>
      </c>
      <c r="BW29" s="10">
        <f t="shared" si="321"/>
        <v>6.0483870967741934E-3</v>
      </c>
      <c r="BX29" s="10">
        <f t="shared" ref="BX29:BY29" si="322">BX24/BX18</f>
        <v>6.0483870967741934E-3</v>
      </c>
      <c r="BY29" s="10">
        <f t="shared" si="322"/>
        <v>6.0483870967741934E-3</v>
      </c>
      <c r="BZ29" s="10">
        <f t="shared" ref="BZ29:CA29" si="323">BZ24/BZ18</f>
        <v>6.0483870967741934E-3</v>
      </c>
      <c r="CA29" s="10">
        <f t="shared" si="323"/>
        <v>6.0483870967741934E-3</v>
      </c>
      <c r="CB29" s="10">
        <f t="shared" ref="CB29:CC29" si="324">CB24/CB18</f>
        <v>6.0483870967741934E-3</v>
      </c>
      <c r="CC29" s="10">
        <f t="shared" si="324"/>
        <v>6.0483870967741934E-3</v>
      </c>
      <c r="CD29" s="10">
        <f t="shared" ref="CD29:CE29" si="325">CD24/CD18</f>
        <v>6.0483870967741934E-3</v>
      </c>
      <c r="CE29" s="10">
        <f t="shared" si="325"/>
        <v>6.0483870967741934E-3</v>
      </c>
      <c r="CF29" s="10">
        <f t="shared" ref="CF29:CG29" si="326">CF24/CF18</f>
        <v>6.0483870967741934E-3</v>
      </c>
      <c r="CG29" s="10">
        <f t="shared" si="326"/>
        <v>6.0483870967741934E-3</v>
      </c>
      <c r="CH29" s="10">
        <f t="shared" ref="CH29:CI29" si="327">CH24/CH18</f>
        <v>6.0483870967741934E-3</v>
      </c>
      <c r="CI29" s="10">
        <f t="shared" si="327"/>
        <v>6.0483870967741934E-3</v>
      </c>
      <c r="CJ29" s="10">
        <f t="shared" ref="CJ29" si="328">CJ24/CJ18</f>
        <v>6.0483870967741934E-3</v>
      </c>
      <c r="CK29" s="10">
        <f t="shared" ref="CK29" si="329">CK24/CK18</f>
        <v>6.0483870967741934E-3</v>
      </c>
      <c r="CL29" s="10">
        <f t="shared" ref="CL29:CM29" si="330">CL24/CL18</f>
        <v>6.0483870967741934E-3</v>
      </c>
      <c r="CM29" s="10">
        <f t="shared" si="330"/>
        <v>6.0483870967741934E-3</v>
      </c>
      <c r="CN29" s="10">
        <f t="shared" ref="CN29:CO29" si="331">CN24/CN18</f>
        <v>6.0483870967741934E-3</v>
      </c>
      <c r="CO29" s="10">
        <f t="shared" si="331"/>
        <v>6.0483870967741934E-3</v>
      </c>
      <c r="CP29" s="10">
        <f t="shared" ref="CP29" si="332">CP24/CP18</f>
        <v>6.0483870967741934E-3</v>
      </c>
      <c r="CQ29" s="10">
        <f t="shared" ref="CQ29:CR29" si="333">CQ24/CQ18</f>
        <v>6.0483870967741934E-3</v>
      </c>
      <c r="CR29" s="10">
        <f t="shared" si="333"/>
        <v>6.0483870967741934E-3</v>
      </c>
      <c r="CS29" s="10">
        <f t="shared" ref="CS29:CT29" si="334">CS24/CS18</f>
        <v>6.0483870967741934E-3</v>
      </c>
      <c r="CT29" s="10">
        <f t="shared" si="334"/>
        <v>6.0483870967741934E-3</v>
      </c>
      <c r="CU29" s="10">
        <f t="shared" ref="CU29" si="335">CU24/CU18</f>
        <v>6.0483870967741934E-3</v>
      </c>
      <c r="CV29" s="10">
        <f t="shared" ref="CV29:CW29" si="336">CV24/CV18</f>
        <v>6.0483870967741934E-3</v>
      </c>
      <c r="CW29" s="10">
        <f t="shared" si="336"/>
        <v>6.0483870967741934E-3</v>
      </c>
      <c r="CX29" s="10">
        <f t="shared" ref="CX29:CY29" si="337">CX24/CX18</f>
        <v>6.0483870967741934E-3</v>
      </c>
      <c r="CY29" s="10">
        <f t="shared" si="337"/>
        <v>6.0483870967741934E-3</v>
      </c>
      <c r="CZ29" s="10">
        <f t="shared" ref="CZ29:DA29" si="338">CZ24/CZ18</f>
        <v>6.0483870967741934E-3</v>
      </c>
      <c r="DA29" s="10">
        <f t="shared" si="338"/>
        <v>6.0483870967741934E-3</v>
      </c>
      <c r="DB29" s="10">
        <f t="shared" ref="DB29:DC29" si="339">DB24/DB18</f>
        <v>6.0483870967741934E-3</v>
      </c>
      <c r="DC29" s="10">
        <f t="shared" si="339"/>
        <v>6.0483870967741934E-3</v>
      </c>
      <c r="DD29" s="10">
        <f t="shared" ref="DD29:DE29" si="340">DD24/DD18</f>
        <v>6.0483870967741934E-3</v>
      </c>
      <c r="DE29" s="10">
        <f t="shared" si="340"/>
        <v>6.0483870967741934E-3</v>
      </c>
      <c r="DF29" s="10">
        <f t="shared" ref="DF29" si="341">DF24/DF18</f>
        <v>6.0483870967741934E-3</v>
      </c>
      <c r="DG29" s="10">
        <f t="shared" ref="DG29:DH29" si="342">DG24/DG18</f>
        <v>6.0483870967741934E-3</v>
      </c>
      <c r="DH29" s="10">
        <f t="shared" si="342"/>
        <v>6.0483870967741934E-3</v>
      </c>
      <c r="DI29" s="10">
        <f t="shared" ref="DI29" si="343">DI24/DI18</f>
        <v>6.0483870967741934E-3</v>
      </c>
      <c r="DJ29" s="10">
        <f t="shared" ref="DJ29:DK29" si="344">DJ24/DJ18</f>
        <v>6.0483870967741934E-3</v>
      </c>
      <c r="DK29" s="10">
        <f t="shared" si="344"/>
        <v>6.0483870967741934E-3</v>
      </c>
      <c r="DL29" s="10">
        <f t="shared" ref="DL29:DM29" si="345">DL24/DL18</f>
        <v>6.0483870967741934E-3</v>
      </c>
      <c r="DM29" s="10">
        <f t="shared" si="345"/>
        <v>6.0483870967741934E-3</v>
      </c>
      <c r="DN29" s="10">
        <f t="shared" ref="DN29" si="346">DN24/DN18</f>
        <v>6.0483870967741934E-3</v>
      </c>
      <c r="DO29" s="10">
        <f t="shared" ref="DO29:DP29" si="347">DO24/DO18</f>
        <v>6.0483870967741934E-3</v>
      </c>
      <c r="DP29" s="10">
        <f t="shared" si="347"/>
        <v>6.0483870967741934E-3</v>
      </c>
      <c r="DQ29" s="10">
        <f t="shared" ref="DQ29:DR29" si="348">DQ24/DQ18</f>
        <v>6.0483870967741934E-3</v>
      </c>
      <c r="DR29" s="10">
        <f t="shared" si="348"/>
        <v>6.0483870967741934E-3</v>
      </c>
      <c r="DS29" s="10">
        <f t="shared" ref="DS29:DT29" si="349">DS24/DS18</f>
        <v>6.0483870967741934E-3</v>
      </c>
      <c r="DT29" s="10">
        <f t="shared" si="349"/>
        <v>6.0483870967741934E-3</v>
      </c>
      <c r="DU29" s="10">
        <f t="shared" ref="DU29:DV29" si="350">DU24/DU18</f>
        <v>6.0483870967741934E-3</v>
      </c>
      <c r="DV29" s="10">
        <f t="shared" si="350"/>
        <v>6.0483870967741934E-3</v>
      </c>
      <c r="DW29" s="10">
        <f t="shared" ref="DW29:DX29" si="351">DW24/DW18</f>
        <v>6.0483870967741934E-3</v>
      </c>
      <c r="DX29" s="10">
        <f t="shared" si="351"/>
        <v>6.0483870967741934E-3</v>
      </c>
      <c r="DY29" s="10">
        <f t="shared" ref="DY29:DZ29" si="352">DY24/DY18</f>
        <v>6.0483870967741934E-3</v>
      </c>
      <c r="DZ29" s="10">
        <f t="shared" si="352"/>
        <v>6.0483870967741934E-3</v>
      </c>
      <c r="EA29" s="10">
        <f t="shared" ref="EA29:EB29" si="353">EA24/EA18</f>
        <v>6.0483870967741934E-3</v>
      </c>
      <c r="EB29" s="10">
        <f t="shared" si="353"/>
        <v>6.0483870967741934E-3</v>
      </c>
      <c r="EC29" s="10">
        <f t="shared" ref="EC29:ED29" si="354">EC24/EC18</f>
        <v>6.0483870967741934E-3</v>
      </c>
      <c r="ED29" s="10">
        <f t="shared" si="354"/>
        <v>6.0483870967741934E-3</v>
      </c>
      <c r="EE29" s="10">
        <f t="shared" ref="EE29:EF29" si="355">EE24/EE18</f>
        <v>6.0483870967741934E-3</v>
      </c>
      <c r="EF29" s="10">
        <f t="shared" si="355"/>
        <v>6.0483870967741934E-3</v>
      </c>
      <c r="EG29" s="10">
        <f t="shared" ref="EG29:EH29" si="356">EG24/EG18</f>
        <v>6.0483870967741934E-3</v>
      </c>
      <c r="EH29" s="10">
        <f t="shared" si="356"/>
        <v>6.0483870967741934E-3</v>
      </c>
      <c r="EI29" s="10">
        <f t="shared" ref="EI29:EJ29" si="357">EI24/EI18</f>
        <v>6.0483870967741934E-3</v>
      </c>
      <c r="EJ29" s="10">
        <f t="shared" si="357"/>
        <v>6.0483870967741934E-3</v>
      </c>
      <c r="EK29" s="10">
        <f t="shared" ref="EK29:EL29" si="358">EK24/EK18</f>
        <v>6.0483870967741934E-3</v>
      </c>
      <c r="EL29" s="10">
        <f t="shared" si="358"/>
        <v>6.0483870967741934E-3</v>
      </c>
      <c r="EM29" s="10">
        <f t="shared" ref="EM29:EN29" si="359">EM24/EM18</f>
        <v>6.0483870967741934E-3</v>
      </c>
      <c r="EN29" s="10">
        <f t="shared" si="359"/>
        <v>6.0483870967741934E-3</v>
      </c>
      <c r="EO29" s="10">
        <f t="shared" ref="EO29:EP29" si="360">EO24/EO18</f>
        <v>6.0483870967741934E-3</v>
      </c>
      <c r="EP29" s="10">
        <f t="shared" si="360"/>
        <v>6.0483870967741934E-3</v>
      </c>
      <c r="EQ29" s="10">
        <f t="shared" ref="EQ29:ER29" si="361">EQ24/EQ18</f>
        <v>6.0483870967741934E-3</v>
      </c>
      <c r="ER29" s="10">
        <f t="shared" si="361"/>
        <v>6.0483870967741934E-3</v>
      </c>
      <c r="ES29" s="10">
        <f t="shared" ref="ES29:ET29" si="362">ES24/ES18</f>
        <v>6.0483870967741934E-3</v>
      </c>
      <c r="ET29" s="10">
        <f t="shared" si="362"/>
        <v>6.0483870967741934E-3</v>
      </c>
      <c r="EU29" s="10">
        <f t="shared" ref="EU29:EV29" si="363">EU24/EU18</f>
        <v>6.0483870967741934E-3</v>
      </c>
      <c r="EV29" s="10">
        <f t="shared" si="363"/>
        <v>6.0483870967741934E-3</v>
      </c>
      <c r="EW29" s="10">
        <f t="shared" ref="EW29:EX29" si="364">EW24/EW18</f>
        <v>6.0483870967741934E-3</v>
      </c>
      <c r="EX29" s="10">
        <f t="shared" si="364"/>
        <v>6.0483870967741934E-3</v>
      </c>
      <c r="EY29" s="10">
        <f t="shared" ref="EY29:FD29" si="365">EY24/EY18</f>
        <v>6.0483870967741934E-3</v>
      </c>
      <c r="EZ29" s="10">
        <f t="shared" si="365"/>
        <v>6.0483870967741934E-3</v>
      </c>
      <c r="FA29" s="10">
        <f t="shared" si="365"/>
        <v>6.0483870967741934E-3</v>
      </c>
      <c r="FB29" s="10">
        <f t="shared" si="365"/>
        <v>6.0483870967741934E-3</v>
      </c>
      <c r="FC29" s="10">
        <f t="shared" si="365"/>
        <v>6.0483870967741934E-3</v>
      </c>
      <c r="FD29" s="10">
        <f t="shared" si="365"/>
        <v>6.0483870967741934E-3</v>
      </c>
      <c r="FE29" s="10">
        <f t="shared" ref="FE29:FF29" si="366">FE24/FE18</f>
        <v>6.0544904137235112E-3</v>
      </c>
      <c r="FF29" s="10">
        <f t="shared" si="366"/>
        <v>6.0544904137235112E-3</v>
      </c>
      <c r="FG29" s="10">
        <f t="shared" ref="FG29:FH29" si="367">FG24/FG18</f>
        <v>6.0544904137235112E-3</v>
      </c>
      <c r="FH29" s="10">
        <f t="shared" si="367"/>
        <v>6.0544904137235112E-3</v>
      </c>
      <c r="FI29" s="10">
        <f t="shared" ref="FI29:FK29" si="368">FI24/FI18</f>
        <v>6.0544904137235112E-3</v>
      </c>
      <c r="FJ29" s="10">
        <f t="shared" si="368"/>
        <v>6.0544904137235112E-3</v>
      </c>
      <c r="FK29" s="10">
        <f t="shared" si="368"/>
        <v>6.0544904137235112E-3</v>
      </c>
      <c r="FL29" s="10">
        <f t="shared" ref="FL29:FM29" si="369">FL24/FL18</f>
        <v>6.0544904137235112E-3</v>
      </c>
      <c r="FM29" s="10">
        <f t="shared" si="369"/>
        <v>6.0544904137235112E-3</v>
      </c>
      <c r="FN29" s="10">
        <f t="shared" ref="FN29:HD29" si="370">FN24/FN18</f>
        <v>6.0544904137235112E-3</v>
      </c>
      <c r="FO29" s="10">
        <f t="shared" si="370"/>
        <v>6.0544904137235112E-3</v>
      </c>
      <c r="FP29" s="10">
        <f t="shared" si="370"/>
        <v>6.0544904137235112E-3</v>
      </c>
      <c r="FQ29" s="10">
        <f t="shared" si="370"/>
        <v>6.0544904137235112E-3</v>
      </c>
      <c r="FR29" s="10">
        <f t="shared" si="370"/>
        <v>6.0544904137235112E-3</v>
      </c>
      <c r="FS29" s="10">
        <f t="shared" si="370"/>
        <v>6.0544904137235112E-3</v>
      </c>
      <c r="FT29" s="10">
        <f t="shared" si="370"/>
        <v>6.0544904137235112E-3</v>
      </c>
      <c r="FU29" s="10">
        <f t="shared" si="370"/>
        <v>6.0544904137235112E-3</v>
      </c>
      <c r="FV29" s="10">
        <f t="shared" si="370"/>
        <v>6.0544904137235112E-3</v>
      </c>
      <c r="FW29" s="10">
        <f t="shared" si="370"/>
        <v>6.0544904137235112E-3</v>
      </c>
      <c r="FX29" s="10">
        <f t="shared" si="370"/>
        <v>6.0544904137235112E-3</v>
      </c>
      <c r="FY29" s="10">
        <f t="shared" si="370"/>
        <v>6.0544904137235112E-3</v>
      </c>
      <c r="FZ29" s="10">
        <f t="shared" si="370"/>
        <v>6.0544904137235112E-3</v>
      </c>
      <c r="GA29" s="10">
        <f t="shared" si="370"/>
        <v>6.0544904137235112E-3</v>
      </c>
      <c r="GB29" s="10">
        <f t="shared" si="370"/>
        <v>6.0544904137235112E-3</v>
      </c>
      <c r="GC29" s="10">
        <f t="shared" si="370"/>
        <v>6.0544904137235112E-3</v>
      </c>
      <c r="GD29" s="10">
        <f t="shared" si="370"/>
        <v>6.0544904137235112E-3</v>
      </c>
      <c r="GE29" s="10">
        <f t="shared" si="370"/>
        <v>6.0544904137235112E-3</v>
      </c>
      <c r="GF29" s="10">
        <f t="shared" si="370"/>
        <v>6.0544904137235112E-3</v>
      </c>
      <c r="GG29" s="10">
        <f t="shared" si="370"/>
        <v>6.0544904137235112E-3</v>
      </c>
      <c r="GH29" s="10">
        <f t="shared" si="370"/>
        <v>6.0544904137235112E-3</v>
      </c>
      <c r="GI29" s="10">
        <f t="shared" si="370"/>
        <v>6.0544904137235112E-3</v>
      </c>
      <c r="GJ29" s="10">
        <f t="shared" si="370"/>
        <v>6.0544904137235112E-3</v>
      </c>
      <c r="GK29" s="10">
        <f t="shared" si="370"/>
        <v>6.0544904137235112E-3</v>
      </c>
      <c r="GL29" s="10">
        <f t="shared" si="370"/>
        <v>6.0544904137235112E-3</v>
      </c>
      <c r="GM29" s="10">
        <f t="shared" si="370"/>
        <v>6.0544904137235112E-3</v>
      </c>
      <c r="GN29" s="10">
        <f t="shared" si="370"/>
        <v>6.0544904137235112E-3</v>
      </c>
      <c r="GO29" s="10">
        <f t="shared" si="370"/>
        <v>6.0544904137235112E-3</v>
      </c>
      <c r="GP29" s="10">
        <f t="shared" si="370"/>
        <v>6.0544904137235112E-3</v>
      </c>
      <c r="GQ29" s="10">
        <f t="shared" si="370"/>
        <v>6.0606060606060606E-3</v>
      </c>
      <c r="GR29" s="10">
        <f t="shared" si="370"/>
        <v>6.0606060606060606E-3</v>
      </c>
      <c r="GS29" s="10">
        <f t="shared" si="370"/>
        <v>6.0606060606060606E-3</v>
      </c>
      <c r="GT29" s="10">
        <f t="shared" si="370"/>
        <v>6.0667340748230538E-3</v>
      </c>
      <c r="GU29" s="10">
        <f t="shared" si="370"/>
        <v>6.0667340748230538E-3</v>
      </c>
      <c r="GV29" s="10">
        <f t="shared" si="370"/>
        <v>6.0667340748230538E-3</v>
      </c>
      <c r="GW29" s="10">
        <f t="shared" si="370"/>
        <v>6.0667340748230538E-3</v>
      </c>
      <c r="GX29" s="10">
        <f t="shared" si="370"/>
        <v>6.0667340748230538E-3</v>
      </c>
      <c r="GY29" s="10">
        <f t="shared" si="370"/>
        <v>6.0667340748230538E-3</v>
      </c>
      <c r="GZ29" s="10">
        <f t="shared" si="370"/>
        <v>6.0728744939271256E-3</v>
      </c>
      <c r="HA29" s="10">
        <f t="shared" si="370"/>
        <v>6.0790273556231003E-3</v>
      </c>
      <c r="HB29" s="10">
        <f t="shared" si="370"/>
        <v>6.0851926977687626E-3</v>
      </c>
      <c r="HC29" s="10">
        <f t="shared" si="370"/>
        <v>6.1099796334012219E-3</v>
      </c>
      <c r="HD29" s="10">
        <f t="shared" si="370"/>
        <v>6.1664953751284684E-3</v>
      </c>
      <c r="HE29" s="10">
        <f t="shared" ref="HE29" si="371">HE24/HE18</f>
        <v>6.2370062370062374E-3</v>
      </c>
      <c r="HF29" s="10">
        <f>HF24/HF18</f>
        <v>6.3157894736842104E-3</v>
      </c>
      <c r="HG29" s="10">
        <f t="shared" ref="HG29:IC29" si="372">HG24/HG18</f>
        <v>6.4239828693790149E-3</v>
      </c>
      <c r="HH29" s="10">
        <f t="shared" si="372"/>
        <v>5.4945054945054949E-3</v>
      </c>
      <c r="HI29" s="10">
        <f t="shared" si="372"/>
        <v>4.4994375703037125E-3</v>
      </c>
      <c r="HJ29" s="10">
        <f t="shared" si="372"/>
        <v>4.6511627906976744E-3</v>
      </c>
      <c r="HK29" s="10">
        <f t="shared" si="372"/>
        <v>3.6144578313253013E-3</v>
      </c>
      <c r="HL29" s="10">
        <f t="shared" si="372"/>
        <v>1.2836970474967907E-3</v>
      </c>
      <c r="HM29" s="10">
        <f t="shared" si="372"/>
        <v>0</v>
      </c>
      <c r="HN29" s="10">
        <f t="shared" si="372"/>
        <v>0</v>
      </c>
      <c r="HO29" s="10">
        <f t="shared" si="372"/>
        <v>0</v>
      </c>
      <c r="HP29" s="10">
        <f t="shared" si="372"/>
        <v>0</v>
      </c>
      <c r="HQ29" s="10">
        <f t="shared" si="372"/>
        <v>0</v>
      </c>
      <c r="HR29" s="10">
        <f t="shared" si="372"/>
        <v>0</v>
      </c>
      <c r="HS29" s="10">
        <f t="shared" si="372"/>
        <v>0</v>
      </c>
      <c r="HT29" s="10">
        <f t="shared" si="372"/>
        <v>0</v>
      </c>
      <c r="HU29" s="10">
        <f t="shared" si="372"/>
        <v>0</v>
      </c>
      <c r="HV29" s="10">
        <f t="shared" si="372"/>
        <v>0</v>
      </c>
      <c r="HW29" s="10">
        <f t="shared" si="372"/>
        <v>0</v>
      </c>
      <c r="HX29" s="10">
        <f t="shared" si="372"/>
        <v>0</v>
      </c>
      <c r="HY29" s="10">
        <f t="shared" si="372"/>
        <v>0</v>
      </c>
      <c r="HZ29" s="10">
        <f t="shared" si="372"/>
        <v>0</v>
      </c>
      <c r="IA29" s="10">
        <f t="shared" si="372"/>
        <v>0</v>
      </c>
      <c r="IB29" s="10">
        <f t="shared" si="372"/>
        <v>0</v>
      </c>
      <c r="IC29" s="10">
        <f t="shared" si="372"/>
        <v>0</v>
      </c>
    </row>
    <row r="30" spans="1:237" s="6" customFormat="1">
      <c r="A30" s="4" t="s">
        <v>30</v>
      </c>
      <c r="B30" s="10">
        <f t="shared" ref="B30:C30" si="373">(B26+B24)/B18</f>
        <v>6.0483870967741934E-3</v>
      </c>
      <c r="C30" s="10">
        <f t="shared" si="373"/>
        <v>6.0483870967741934E-3</v>
      </c>
      <c r="D30" s="10">
        <f t="shared" ref="D30:E30" si="374">(D26+D24)/D18</f>
        <v>6.0483870967741934E-3</v>
      </c>
      <c r="E30" s="10">
        <f t="shared" si="374"/>
        <v>6.0483870967741934E-3</v>
      </c>
      <c r="F30" s="10">
        <f t="shared" ref="F30:G30" si="375">(F26+F24)/F18</f>
        <v>6.0483870967741934E-3</v>
      </c>
      <c r="G30" s="10">
        <f t="shared" si="375"/>
        <v>6.0483870967741934E-3</v>
      </c>
      <c r="H30" s="10">
        <f t="shared" ref="H30:I30" si="376">(H26+H24)/H18</f>
        <v>6.0483870967741934E-3</v>
      </c>
      <c r="I30" s="10">
        <f t="shared" si="376"/>
        <v>6.0483870967741934E-3</v>
      </c>
      <c r="J30" s="10">
        <f t="shared" ref="J30" si="377">(J26+J24)/J18</f>
        <v>6.0483870967741934E-3</v>
      </c>
      <c r="K30" s="10">
        <f t="shared" ref="K30" si="378">(K26+K24)/K18</f>
        <v>6.0483870967741934E-3</v>
      </c>
      <c r="L30" s="10">
        <f t="shared" ref="L30:M30" si="379">(L26+L24)/L18</f>
        <v>6.0483870967741934E-3</v>
      </c>
      <c r="M30" s="10">
        <f t="shared" si="379"/>
        <v>6.0483870967741934E-3</v>
      </c>
      <c r="N30" s="10">
        <f t="shared" ref="N30:O30" si="380">(N26+N24)/N18</f>
        <v>6.0483870967741934E-3</v>
      </c>
      <c r="O30" s="10">
        <f t="shared" si="380"/>
        <v>6.0483870967741934E-3</v>
      </c>
      <c r="P30" s="10">
        <f t="shared" ref="P30:Q30" si="381">(P26+P24)/P18</f>
        <v>6.0483870967741934E-3</v>
      </c>
      <c r="Q30" s="10">
        <f t="shared" si="381"/>
        <v>6.0483870967741934E-3</v>
      </c>
      <c r="R30" s="10">
        <f t="shared" ref="R30:S30" si="382">(R26+R24)/R18</f>
        <v>6.0483870967741934E-3</v>
      </c>
      <c r="S30" s="10">
        <f t="shared" si="382"/>
        <v>6.0483870967741934E-3</v>
      </c>
      <c r="T30" s="10">
        <f t="shared" ref="T30:U30" si="383">(T26+T24)/T18</f>
        <v>6.0483870967741934E-3</v>
      </c>
      <c r="U30" s="10">
        <f t="shared" si="383"/>
        <v>6.0483870967741934E-3</v>
      </c>
      <c r="V30" s="10">
        <f t="shared" ref="V30:W30" si="384">(V26+V24)/V18</f>
        <v>6.0483870967741934E-3</v>
      </c>
      <c r="W30" s="10">
        <f t="shared" si="384"/>
        <v>6.0483870967741934E-3</v>
      </c>
      <c r="X30" s="10">
        <f t="shared" ref="X30:Y30" si="385">(X26+X24)/X18</f>
        <v>6.0483870967741934E-3</v>
      </c>
      <c r="Y30" s="10">
        <f t="shared" si="385"/>
        <v>6.0483870967741934E-3</v>
      </c>
      <c r="Z30" s="10">
        <f t="shared" ref="Z30:AA30" si="386">(Z26+Z24)/Z18</f>
        <v>6.0483870967741934E-3</v>
      </c>
      <c r="AA30" s="10">
        <f t="shared" si="386"/>
        <v>6.0483870967741934E-3</v>
      </c>
      <c r="AB30" s="10">
        <f t="shared" ref="AB30:AC30" si="387">(AB26+AB24)/AB18</f>
        <v>6.0483870967741934E-3</v>
      </c>
      <c r="AC30" s="10">
        <f t="shared" si="387"/>
        <v>6.0483870967741934E-3</v>
      </c>
      <c r="AD30" s="10">
        <f t="shared" ref="AD30:AE30" si="388">(AD26+AD24)/AD18</f>
        <v>6.0483870967741934E-3</v>
      </c>
      <c r="AE30" s="10">
        <f t="shared" si="388"/>
        <v>6.0483870967741934E-3</v>
      </c>
      <c r="AF30" s="10">
        <f t="shared" ref="AF30:AG30" si="389">(AF26+AF24)/AF18</f>
        <v>6.0483870967741934E-3</v>
      </c>
      <c r="AG30" s="10">
        <f t="shared" si="389"/>
        <v>6.0483870967741934E-3</v>
      </c>
      <c r="AH30" s="10">
        <f t="shared" ref="AH30:AI30" si="390">(AH26+AH24)/AH18</f>
        <v>6.0483870967741934E-3</v>
      </c>
      <c r="AI30" s="10">
        <f t="shared" si="390"/>
        <v>6.0483870967741934E-3</v>
      </c>
      <c r="AJ30" s="10">
        <f t="shared" ref="AJ30:AK30" si="391">(AJ26+AJ24)/AJ18</f>
        <v>6.0483870967741934E-3</v>
      </c>
      <c r="AK30" s="10">
        <f t="shared" si="391"/>
        <v>6.0483870967741934E-3</v>
      </c>
      <c r="AL30" s="10">
        <f t="shared" ref="AL30" si="392">(AL26+AL24)/AL18</f>
        <v>6.0483870967741934E-3</v>
      </c>
      <c r="AM30" s="10">
        <f t="shared" ref="AM30:AN30" si="393">(AM26+AM24)/AM18</f>
        <v>6.0483870967741934E-3</v>
      </c>
      <c r="AN30" s="10">
        <f t="shared" si="393"/>
        <v>6.0483870967741934E-3</v>
      </c>
      <c r="AO30" s="10">
        <f t="shared" ref="AO30" si="394">(AO26+AO24)/AO18</f>
        <v>6.0483870967741934E-3</v>
      </c>
      <c r="AP30" s="10">
        <f t="shared" ref="AP30" si="395">(AP26+AP24)/AP18</f>
        <v>6.0483870967741934E-3</v>
      </c>
      <c r="AQ30" s="10">
        <f t="shared" ref="AQ30" si="396">(AQ26+AQ24)/AQ18</f>
        <v>6.0483870967741934E-3</v>
      </c>
      <c r="AR30" s="10">
        <f t="shared" ref="AR30:AS30" si="397">(AR26+AR24)/AR18</f>
        <v>6.0483870967741934E-3</v>
      </c>
      <c r="AS30" s="10">
        <f t="shared" si="397"/>
        <v>6.0483870967741934E-3</v>
      </c>
      <c r="AT30" s="10">
        <f t="shared" ref="AT30:AU30" si="398">(AT26+AT24)/AT18</f>
        <v>6.0483870967741934E-3</v>
      </c>
      <c r="AU30" s="10">
        <f t="shared" si="398"/>
        <v>6.0483870967741934E-3</v>
      </c>
      <c r="AV30" s="10">
        <f t="shared" ref="AV30:AW30" si="399">(AV26+AV24)/AV18</f>
        <v>6.0483870967741934E-3</v>
      </c>
      <c r="AW30" s="10">
        <f t="shared" si="399"/>
        <v>6.0483870967741934E-3</v>
      </c>
      <c r="AX30" s="10">
        <f t="shared" ref="AX30:AY30" si="400">(AX26+AX24)/AX18</f>
        <v>6.0483870967741934E-3</v>
      </c>
      <c r="AY30" s="10">
        <f t="shared" si="400"/>
        <v>6.0483870967741934E-3</v>
      </c>
      <c r="AZ30" s="10">
        <f t="shared" ref="AZ30:BA30" si="401">(AZ26+AZ24)/AZ18</f>
        <v>6.0483870967741934E-3</v>
      </c>
      <c r="BA30" s="10">
        <f t="shared" si="401"/>
        <v>6.0483870967741934E-3</v>
      </c>
      <c r="BB30" s="10">
        <f t="shared" ref="BB30:BC30" si="402">(BB26+BB24)/BB18</f>
        <v>6.0483870967741934E-3</v>
      </c>
      <c r="BC30" s="10">
        <f t="shared" si="402"/>
        <v>6.0483870967741934E-3</v>
      </c>
      <c r="BD30" s="10">
        <f t="shared" ref="BD30:BE30" si="403">(BD26+BD24)/BD18</f>
        <v>6.0483870967741934E-3</v>
      </c>
      <c r="BE30" s="10">
        <f t="shared" si="403"/>
        <v>6.0483870967741934E-3</v>
      </c>
      <c r="BF30" s="10">
        <f t="shared" ref="BF30:BG30" si="404">(BF26+BF24)/BF18</f>
        <v>6.0483870967741934E-3</v>
      </c>
      <c r="BG30" s="10">
        <f t="shared" si="404"/>
        <v>6.0483870967741934E-3</v>
      </c>
      <c r="BH30" s="10">
        <f t="shared" ref="BH30:BI30" si="405">(BH26+BH24)/BH18</f>
        <v>6.0483870967741934E-3</v>
      </c>
      <c r="BI30" s="10">
        <f t="shared" si="405"/>
        <v>6.0483870967741934E-3</v>
      </c>
      <c r="BJ30" s="10">
        <f t="shared" ref="BJ30:BK30" si="406">(BJ26+BJ24)/BJ18</f>
        <v>6.0483870967741934E-3</v>
      </c>
      <c r="BK30" s="10">
        <f t="shared" si="406"/>
        <v>6.0483870967741934E-3</v>
      </c>
      <c r="BL30" s="10">
        <f t="shared" ref="BL30:BM30" si="407">(BL26+BL24)/BL18</f>
        <v>6.0483870967741934E-3</v>
      </c>
      <c r="BM30" s="10">
        <f t="shared" si="407"/>
        <v>6.0483870967741934E-3</v>
      </c>
      <c r="BN30" s="10">
        <f t="shared" ref="BN30:BO30" si="408">(BN26+BN24)/BN18</f>
        <v>6.0483870967741934E-3</v>
      </c>
      <c r="BO30" s="10">
        <f t="shared" si="408"/>
        <v>6.0483870967741934E-3</v>
      </c>
      <c r="BP30" s="10">
        <f t="shared" ref="BP30:BQ30" si="409">(BP26+BP24)/BP18</f>
        <v>6.0483870967741934E-3</v>
      </c>
      <c r="BQ30" s="10">
        <f t="shared" si="409"/>
        <v>6.0483870967741934E-3</v>
      </c>
      <c r="BR30" s="10">
        <f t="shared" ref="BR30:BS30" si="410">(BR26+BR24)/BR18</f>
        <v>6.0483870967741934E-3</v>
      </c>
      <c r="BS30" s="10">
        <f t="shared" si="410"/>
        <v>6.0483870967741934E-3</v>
      </c>
      <c r="BT30" s="10">
        <f t="shared" ref="BT30:BU30" si="411">(BT26+BT24)/BT18</f>
        <v>6.0483870967741934E-3</v>
      </c>
      <c r="BU30" s="10">
        <f t="shared" si="411"/>
        <v>6.0483870967741934E-3</v>
      </c>
      <c r="BV30" s="10">
        <f t="shared" ref="BV30:BW30" si="412">(BV26+BV24)/BV18</f>
        <v>6.0483870967741934E-3</v>
      </c>
      <c r="BW30" s="10">
        <f t="shared" si="412"/>
        <v>6.0483870967741934E-3</v>
      </c>
      <c r="BX30" s="10">
        <f t="shared" ref="BX30:BY30" si="413">(BX26+BX24)/BX18</f>
        <v>6.0483870967741934E-3</v>
      </c>
      <c r="BY30" s="10">
        <f t="shared" si="413"/>
        <v>6.0483870967741934E-3</v>
      </c>
      <c r="BZ30" s="10">
        <f t="shared" ref="BZ30:CA30" si="414">(BZ26+BZ24)/BZ18</f>
        <v>6.0483870967741934E-3</v>
      </c>
      <c r="CA30" s="10">
        <f t="shared" si="414"/>
        <v>6.0483870967741934E-3</v>
      </c>
      <c r="CB30" s="10">
        <f t="shared" ref="CB30:CC30" si="415">(CB26+CB24)/CB18</f>
        <v>6.0483870967741934E-3</v>
      </c>
      <c r="CC30" s="10">
        <f t="shared" si="415"/>
        <v>6.0483870967741934E-3</v>
      </c>
      <c r="CD30" s="10">
        <f t="shared" ref="CD30:CE30" si="416">(CD26+CD24)/CD18</f>
        <v>6.0483870967741934E-3</v>
      </c>
      <c r="CE30" s="10">
        <f t="shared" si="416"/>
        <v>6.0483870967741934E-3</v>
      </c>
      <c r="CF30" s="10">
        <f t="shared" ref="CF30:CG30" si="417">(CF26+CF24)/CF18</f>
        <v>6.0483870967741934E-3</v>
      </c>
      <c r="CG30" s="10">
        <f t="shared" si="417"/>
        <v>6.0483870967741934E-3</v>
      </c>
      <c r="CH30" s="10">
        <f t="shared" ref="CH30:CI30" si="418">(CH26+CH24)/CH18</f>
        <v>6.0483870967741934E-3</v>
      </c>
      <c r="CI30" s="10">
        <f t="shared" si="418"/>
        <v>6.0483870967741934E-3</v>
      </c>
      <c r="CJ30" s="10">
        <f t="shared" ref="CJ30" si="419">(CJ26+CJ24)/CJ18</f>
        <v>6.0483870967741934E-3</v>
      </c>
      <c r="CK30" s="10">
        <f t="shared" ref="CK30" si="420">(CK26+CK24)/CK18</f>
        <v>6.0483870967741934E-3</v>
      </c>
      <c r="CL30" s="10">
        <f t="shared" ref="CL30:CM30" si="421">(CL26+CL24)/CL18</f>
        <v>6.0483870967741934E-3</v>
      </c>
      <c r="CM30" s="10">
        <f t="shared" si="421"/>
        <v>6.0483870967741934E-3</v>
      </c>
      <c r="CN30" s="10">
        <f t="shared" ref="CN30:CO30" si="422">(CN26+CN24)/CN18</f>
        <v>6.0483870967741934E-3</v>
      </c>
      <c r="CO30" s="10">
        <f t="shared" si="422"/>
        <v>6.0483870967741934E-3</v>
      </c>
      <c r="CP30" s="10">
        <f t="shared" ref="CP30" si="423">(CP26+CP24)/CP18</f>
        <v>6.0483870967741934E-3</v>
      </c>
      <c r="CQ30" s="10">
        <f t="shared" ref="CQ30:CR30" si="424">(CQ26+CQ24)/CQ18</f>
        <v>6.0483870967741934E-3</v>
      </c>
      <c r="CR30" s="10">
        <f t="shared" si="424"/>
        <v>6.0483870967741934E-3</v>
      </c>
      <c r="CS30" s="10">
        <f t="shared" ref="CS30:CT30" si="425">(CS26+CS24)/CS18</f>
        <v>6.0483870967741934E-3</v>
      </c>
      <c r="CT30" s="10">
        <f t="shared" si="425"/>
        <v>6.0483870967741934E-3</v>
      </c>
      <c r="CU30" s="10">
        <f t="shared" ref="CU30" si="426">(CU26+CU24)/CU18</f>
        <v>6.0483870967741934E-3</v>
      </c>
      <c r="CV30" s="10">
        <f t="shared" ref="CV30:CW30" si="427">(CV26+CV24)/CV18</f>
        <v>6.0483870967741934E-3</v>
      </c>
      <c r="CW30" s="10">
        <f t="shared" si="427"/>
        <v>6.0483870967741934E-3</v>
      </c>
      <c r="CX30" s="10">
        <f t="shared" ref="CX30:CY30" si="428">(CX26+CX24)/CX18</f>
        <v>6.0483870967741934E-3</v>
      </c>
      <c r="CY30" s="10">
        <f t="shared" si="428"/>
        <v>6.0483870967741934E-3</v>
      </c>
      <c r="CZ30" s="10">
        <f t="shared" ref="CZ30:DA30" si="429">(CZ26+CZ24)/CZ18</f>
        <v>6.0483870967741934E-3</v>
      </c>
      <c r="DA30" s="10">
        <f t="shared" si="429"/>
        <v>6.0483870967741934E-3</v>
      </c>
      <c r="DB30" s="10">
        <f t="shared" ref="DB30:DC30" si="430">(DB26+DB24)/DB18</f>
        <v>6.0483870967741934E-3</v>
      </c>
      <c r="DC30" s="10">
        <f t="shared" si="430"/>
        <v>6.0483870967741934E-3</v>
      </c>
      <c r="DD30" s="10">
        <f t="shared" ref="DD30:DE30" si="431">(DD26+DD24)/DD18</f>
        <v>6.0483870967741934E-3</v>
      </c>
      <c r="DE30" s="10">
        <f t="shared" si="431"/>
        <v>6.0483870967741934E-3</v>
      </c>
      <c r="DF30" s="10">
        <f t="shared" ref="DF30" si="432">(DF26+DF24)/DF18</f>
        <v>6.0483870967741934E-3</v>
      </c>
      <c r="DG30" s="10">
        <f t="shared" ref="DG30:DH30" si="433">(DG26+DG24)/DG18</f>
        <v>6.0483870967741934E-3</v>
      </c>
      <c r="DH30" s="10">
        <f t="shared" si="433"/>
        <v>6.0483870967741934E-3</v>
      </c>
      <c r="DI30" s="10">
        <f t="shared" ref="DI30" si="434">(DI26+DI24)/DI18</f>
        <v>6.0483870967741934E-3</v>
      </c>
      <c r="DJ30" s="10">
        <f t="shared" ref="DJ30:DK30" si="435">(DJ26+DJ24)/DJ18</f>
        <v>6.0483870967741934E-3</v>
      </c>
      <c r="DK30" s="10">
        <f t="shared" si="435"/>
        <v>6.0483870967741934E-3</v>
      </c>
      <c r="DL30" s="10">
        <f t="shared" ref="DL30:DM30" si="436">(DL26+DL24)/DL18</f>
        <v>6.0483870967741934E-3</v>
      </c>
      <c r="DM30" s="10">
        <f t="shared" si="436"/>
        <v>6.0483870967741934E-3</v>
      </c>
      <c r="DN30" s="10">
        <f t="shared" ref="DN30" si="437">(DN26+DN24)/DN18</f>
        <v>6.0483870967741934E-3</v>
      </c>
      <c r="DO30" s="10">
        <f t="shared" ref="DO30:DP30" si="438">(DO26+DO24)/DO18</f>
        <v>6.0483870967741934E-3</v>
      </c>
      <c r="DP30" s="10">
        <f t="shared" si="438"/>
        <v>6.0483870967741934E-3</v>
      </c>
      <c r="DQ30" s="10">
        <f t="shared" ref="DQ30:DR30" si="439">(DQ26+DQ24)/DQ18</f>
        <v>6.0483870967741934E-3</v>
      </c>
      <c r="DR30" s="10">
        <f t="shared" si="439"/>
        <v>6.0483870967741934E-3</v>
      </c>
      <c r="DS30" s="10">
        <f t="shared" ref="DS30:DT30" si="440">(DS26+DS24)/DS18</f>
        <v>6.0483870967741934E-3</v>
      </c>
      <c r="DT30" s="10">
        <f t="shared" si="440"/>
        <v>6.0483870967741934E-3</v>
      </c>
      <c r="DU30" s="10">
        <f t="shared" ref="DU30:DV30" si="441">(DU26+DU24)/DU18</f>
        <v>6.0483870967741934E-3</v>
      </c>
      <c r="DV30" s="10">
        <f t="shared" si="441"/>
        <v>6.0483870967741934E-3</v>
      </c>
      <c r="DW30" s="10">
        <f t="shared" ref="DW30:DX30" si="442">(DW26+DW24)/DW18</f>
        <v>6.0483870967741934E-3</v>
      </c>
      <c r="DX30" s="10">
        <f t="shared" si="442"/>
        <v>6.0483870967741934E-3</v>
      </c>
      <c r="DY30" s="10">
        <f t="shared" ref="DY30:DZ30" si="443">(DY26+DY24)/DY18</f>
        <v>6.0483870967741934E-3</v>
      </c>
      <c r="DZ30" s="10">
        <f t="shared" si="443"/>
        <v>6.0483870967741934E-3</v>
      </c>
      <c r="EA30" s="10">
        <f t="shared" ref="EA30:EB30" si="444">(EA26+EA24)/EA18</f>
        <v>6.0483870967741934E-3</v>
      </c>
      <c r="EB30" s="10">
        <f t="shared" si="444"/>
        <v>6.0483870967741934E-3</v>
      </c>
      <c r="EC30" s="10">
        <f t="shared" ref="EC30:ED30" si="445">(EC26+EC24)/EC18</f>
        <v>6.0483870967741934E-3</v>
      </c>
      <c r="ED30" s="10">
        <f t="shared" si="445"/>
        <v>6.0483870967741934E-3</v>
      </c>
      <c r="EE30" s="10">
        <f t="shared" ref="EE30:EF30" si="446">(EE26+EE24)/EE18</f>
        <v>6.0483870967741934E-3</v>
      </c>
      <c r="EF30" s="10">
        <f t="shared" si="446"/>
        <v>6.0483870967741934E-3</v>
      </c>
      <c r="EG30" s="10">
        <f t="shared" ref="EG30:EH30" si="447">(EG26+EG24)/EG18</f>
        <v>6.0483870967741934E-3</v>
      </c>
      <c r="EH30" s="10">
        <f t="shared" si="447"/>
        <v>6.0483870967741934E-3</v>
      </c>
      <c r="EI30" s="10">
        <f t="shared" ref="EI30:EJ30" si="448">(EI26+EI24)/EI18</f>
        <v>6.0483870967741934E-3</v>
      </c>
      <c r="EJ30" s="10">
        <f t="shared" si="448"/>
        <v>6.0483870967741934E-3</v>
      </c>
      <c r="EK30" s="10">
        <f t="shared" ref="EK30:EL30" si="449">(EK26+EK24)/EK18</f>
        <v>6.0483870967741934E-3</v>
      </c>
      <c r="EL30" s="10">
        <f t="shared" si="449"/>
        <v>6.0483870967741934E-3</v>
      </c>
      <c r="EM30" s="10">
        <f t="shared" ref="EM30:EN30" si="450">(EM26+EM24)/EM18</f>
        <v>6.0483870967741934E-3</v>
      </c>
      <c r="EN30" s="10">
        <f t="shared" si="450"/>
        <v>6.0483870967741934E-3</v>
      </c>
      <c r="EO30" s="10">
        <f t="shared" ref="EO30:EP30" si="451">(EO26+EO24)/EO18</f>
        <v>6.0483870967741934E-3</v>
      </c>
      <c r="EP30" s="10">
        <f t="shared" si="451"/>
        <v>6.0483870967741934E-3</v>
      </c>
      <c r="EQ30" s="10">
        <f t="shared" ref="EQ30:ER30" si="452">(EQ26+EQ24)/EQ18</f>
        <v>6.0483870967741934E-3</v>
      </c>
      <c r="ER30" s="10">
        <f t="shared" si="452"/>
        <v>6.0483870967741934E-3</v>
      </c>
      <c r="ES30" s="10">
        <f t="shared" ref="ES30:ET30" si="453">(ES26+ES24)/ES18</f>
        <v>6.0483870967741934E-3</v>
      </c>
      <c r="ET30" s="10">
        <f t="shared" si="453"/>
        <v>6.0483870967741934E-3</v>
      </c>
      <c r="EU30" s="10">
        <f t="shared" ref="EU30:EV30" si="454">(EU26+EU24)/EU18</f>
        <v>6.0483870967741934E-3</v>
      </c>
      <c r="EV30" s="10">
        <f t="shared" si="454"/>
        <v>6.0483870967741934E-3</v>
      </c>
      <c r="EW30" s="10">
        <f t="shared" ref="EW30:EX30" si="455">(EW26+EW24)/EW18</f>
        <v>6.0483870967741934E-3</v>
      </c>
      <c r="EX30" s="10">
        <f t="shared" si="455"/>
        <v>6.0483870967741934E-3</v>
      </c>
      <c r="EY30" s="10">
        <f t="shared" ref="EY30:EZ30" si="456">(EY26+EY24)/EY18</f>
        <v>6.0483870967741934E-3</v>
      </c>
      <c r="EZ30" s="10">
        <f t="shared" si="456"/>
        <v>6.0483870967741934E-3</v>
      </c>
      <c r="FA30" s="10">
        <f t="shared" ref="FA30:FB30" si="457">(FA26+FA24)/FA18</f>
        <v>6.0483870967741934E-3</v>
      </c>
      <c r="FB30" s="10">
        <f t="shared" si="457"/>
        <v>6.0483870967741934E-3</v>
      </c>
      <c r="FC30" s="10">
        <f t="shared" ref="FC30:FD30" si="458">(FC26+FC24)/FC18</f>
        <v>6.0483870967741934E-3</v>
      </c>
      <c r="FD30" s="10">
        <f t="shared" si="458"/>
        <v>6.0483870967741934E-3</v>
      </c>
      <c r="FE30" s="10">
        <f t="shared" ref="FE30:FF30" si="459">(FE26+FE24)/FE18</f>
        <v>6.0544904137235112E-3</v>
      </c>
      <c r="FF30" s="10">
        <f t="shared" si="459"/>
        <v>6.0544904137235112E-3</v>
      </c>
      <c r="FG30" s="10">
        <f t="shared" ref="FG30:FH30" si="460">(FG26+FG24)/FG18</f>
        <v>6.0544904137235112E-3</v>
      </c>
      <c r="FH30" s="10">
        <f t="shared" si="460"/>
        <v>6.0544904137235112E-3</v>
      </c>
      <c r="FI30" s="10">
        <f t="shared" ref="FI30:FK30" si="461">(FI26+FI24)/FI18</f>
        <v>6.0544904137235112E-3</v>
      </c>
      <c r="FJ30" s="10">
        <f t="shared" si="461"/>
        <v>6.0544904137235112E-3</v>
      </c>
      <c r="FK30" s="10">
        <f t="shared" si="461"/>
        <v>6.0544904137235112E-3</v>
      </c>
      <c r="FL30" s="10">
        <f t="shared" ref="FL30:FM30" si="462">(FL26+FL24)/FL18</f>
        <v>6.0544904137235112E-3</v>
      </c>
      <c r="FM30" s="10">
        <f t="shared" si="462"/>
        <v>6.0544904137235112E-3</v>
      </c>
      <c r="FN30" s="10">
        <f t="shared" ref="FN30:GX30" si="463">(FN26+FN24)/FN18</f>
        <v>6.0544904137235112E-3</v>
      </c>
      <c r="FO30" s="10">
        <f t="shared" si="463"/>
        <v>6.0544904137235112E-3</v>
      </c>
      <c r="FP30" s="10">
        <f t="shared" si="463"/>
        <v>6.0544904137235112E-3</v>
      </c>
      <c r="FQ30" s="10">
        <f t="shared" si="463"/>
        <v>6.0544904137235112E-3</v>
      </c>
      <c r="FR30" s="10">
        <f t="shared" si="463"/>
        <v>6.0544904137235112E-3</v>
      </c>
      <c r="FS30" s="10">
        <f t="shared" si="463"/>
        <v>6.0544904137235112E-3</v>
      </c>
      <c r="FT30" s="10">
        <f t="shared" si="463"/>
        <v>6.0544904137235112E-3</v>
      </c>
      <c r="FU30" s="10">
        <f t="shared" si="463"/>
        <v>6.0544904137235112E-3</v>
      </c>
      <c r="FV30" s="10">
        <f t="shared" si="463"/>
        <v>6.0544904137235112E-3</v>
      </c>
      <c r="FW30" s="10">
        <f t="shared" si="463"/>
        <v>6.0544904137235112E-3</v>
      </c>
      <c r="FX30" s="10">
        <f t="shared" si="463"/>
        <v>6.0544904137235112E-3</v>
      </c>
      <c r="FY30" s="10">
        <f t="shared" si="463"/>
        <v>6.0544904137235112E-3</v>
      </c>
      <c r="FZ30" s="10">
        <f t="shared" si="463"/>
        <v>6.0544904137235112E-3</v>
      </c>
      <c r="GA30" s="10">
        <f t="shared" si="463"/>
        <v>6.0544904137235112E-3</v>
      </c>
      <c r="GB30" s="10">
        <f t="shared" si="463"/>
        <v>6.0544904137235112E-3</v>
      </c>
      <c r="GC30" s="10">
        <f t="shared" si="463"/>
        <v>6.0544904137235112E-3</v>
      </c>
      <c r="GD30" s="10">
        <f t="shared" si="463"/>
        <v>6.0544904137235112E-3</v>
      </c>
      <c r="GE30" s="10">
        <f t="shared" si="463"/>
        <v>6.0544904137235112E-3</v>
      </c>
      <c r="GF30" s="10">
        <f t="shared" si="463"/>
        <v>6.0544904137235112E-3</v>
      </c>
      <c r="GG30" s="10">
        <f t="shared" si="463"/>
        <v>6.0544904137235112E-3</v>
      </c>
      <c r="GH30" s="10">
        <f t="shared" si="463"/>
        <v>6.0544904137235112E-3</v>
      </c>
      <c r="GI30" s="10">
        <f t="shared" si="463"/>
        <v>6.0544904137235112E-3</v>
      </c>
      <c r="GJ30" s="10">
        <f t="shared" si="463"/>
        <v>6.0544904137235112E-3</v>
      </c>
      <c r="GK30" s="10">
        <f t="shared" si="463"/>
        <v>6.0544904137235112E-3</v>
      </c>
      <c r="GL30" s="10">
        <f t="shared" si="463"/>
        <v>6.0544904137235112E-3</v>
      </c>
      <c r="GM30" s="10">
        <f t="shared" si="463"/>
        <v>6.0544904137235112E-3</v>
      </c>
      <c r="GN30" s="10">
        <f t="shared" si="463"/>
        <v>6.0544904137235112E-3</v>
      </c>
      <c r="GO30" s="10">
        <f t="shared" si="463"/>
        <v>6.0544904137235112E-3</v>
      </c>
      <c r="GP30" s="10">
        <f t="shared" si="463"/>
        <v>6.0544904137235112E-3</v>
      </c>
      <c r="GQ30" s="10">
        <f t="shared" si="463"/>
        <v>6.0606060606060606E-3</v>
      </c>
      <c r="GR30" s="10">
        <f t="shared" si="463"/>
        <v>6.0606060606060606E-3</v>
      </c>
      <c r="GS30" s="10">
        <f t="shared" si="463"/>
        <v>6.0606060606060606E-3</v>
      </c>
      <c r="GT30" s="10">
        <f t="shared" si="463"/>
        <v>6.0667340748230538E-3</v>
      </c>
      <c r="GU30" s="10">
        <f t="shared" si="463"/>
        <v>6.0667340748230538E-3</v>
      </c>
      <c r="GV30" s="10">
        <f t="shared" si="463"/>
        <v>6.0667340748230538E-3</v>
      </c>
      <c r="GW30" s="10">
        <f t="shared" si="463"/>
        <v>6.0667340748230538E-3</v>
      </c>
      <c r="GX30" s="10">
        <f t="shared" si="463"/>
        <v>8.0889787664307385E-3</v>
      </c>
      <c r="GY30" s="10">
        <f t="shared" ref="GY30:HD30" si="464">(GY26+GY24)/GY18</f>
        <v>9.1001011122345803E-3</v>
      </c>
      <c r="GZ30" s="10">
        <f t="shared" si="464"/>
        <v>9.1093117408906875E-3</v>
      </c>
      <c r="HA30" s="10">
        <f t="shared" si="464"/>
        <v>1.3171225937183385E-2</v>
      </c>
      <c r="HB30" s="10">
        <f t="shared" si="464"/>
        <v>1.5212981744421906E-2</v>
      </c>
      <c r="HC30" s="10">
        <f t="shared" si="464"/>
        <v>1.6293279022403257E-2</v>
      </c>
      <c r="HD30" s="10">
        <f t="shared" si="464"/>
        <v>1.8499486125385406E-2</v>
      </c>
      <c r="HE30" s="10">
        <f t="shared" ref="HE30" si="465">(HE26+HE24)/HE18</f>
        <v>2.286902286902287E-2</v>
      </c>
      <c r="HF30" s="10">
        <f>(HF26+HF24)/HF18</f>
        <v>2.1052631578947368E-2</v>
      </c>
      <c r="HG30" s="10">
        <f t="shared" ref="HG30:IC30" si="466">(HG26+HG24)/HG18</f>
        <v>1.8201284796573874E-2</v>
      </c>
      <c r="HH30" s="10">
        <f t="shared" si="466"/>
        <v>1.7582417582417582E-2</v>
      </c>
      <c r="HI30" s="10">
        <f t="shared" si="466"/>
        <v>1.3498312710911136E-2</v>
      </c>
      <c r="HJ30" s="10">
        <f t="shared" si="466"/>
        <v>1.1627906976744186E-2</v>
      </c>
      <c r="HK30" s="10">
        <f t="shared" si="466"/>
        <v>1.2048192771084338E-2</v>
      </c>
      <c r="HL30" s="10">
        <f t="shared" si="466"/>
        <v>7.7021822849807449E-3</v>
      </c>
      <c r="HM30" s="10">
        <f t="shared" si="466"/>
        <v>8.1855388813096858E-3</v>
      </c>
      <c r="HN30" s="10">
        <f t="shared" si="466"/>
        <v>9.0225563909774441E-3</v>
      </c>
      <c r="HO30" s="10">
        <f t="shared" si="466"/>
        <v>1.015228426395939E-2</v>
      </c>
      <c r="HP30" s="10">
        <f t="shared" si="466"/>
        <v>9.433962264150943E-3</v>
      </c>
      <c r="HQ30" s="10">
        <f t="shared" si="466"/>
        <v>1.0416666666666666E-2</v>
      </c>
      <c r="HR30" s="10">
        <f t="shared" si="466"/>
        <v>9.8039215686274508E-3</v>
      </c>
      <c r="HS30" s="10">
        <f t="shared" si="466"/>
        <v>1.1764705882352941E-2</v>
      </c>
      <c r="HT30" s="10">
        <f t="shared" si="466"/>
        <v>1.0101010101010102E-2</v>
      </c>
      <c r="HU30" s="10">
        <f t="shared" si="466"/>
        <v>1.2658227848101266E-2</v>
      </c>
      <c r="HV30" s="10">
        <f t="shared" si="466"/>
        <v>0</v>
      </c>
      <c r="HW30" s="10">
        <f t="shared" si="466"/>
        <v>0</v>
      </c>
      <c r="HX30" s="10">
        <f t="shared" si="466"/>
        <v>0</v>
      </c>
      <c r="HY30" s="10">
        <f t="shared" si="466"/>
        <v>0</v>
      </c>
      <c r="HZ30" s="10">
        <f t="shared" si="466"/>
        <v>0</v>
      </c>
      <c r="IA30" s="10">
        <f t="shared" si="466"/>
        <v>0</v>
      </c>
      <c r="IB30" s="10">
        <f t="shared" si="466"/>
        <v>0</v>
      </c>
      <c r="IC30" s="10">
        <f t="shared" si="466"/>
        <v>0</v>
      </c>
    </row>
    <row r="31" spans="1:237">
      <c r="A31" s="4" t="s">
        <v>91</v>
      </c>
      <c r="B31" s="4">
        <f t="shared" ref="B31:U31" si="467">B22-C22</f>
        <v>9</v>
      </c>
      <c r="C31" s="4">
        <f t="shared" si="467"/>
        <v>10</v>
      </c>
      <c r="D31" s="4">
        <f t="shared" si="467"/>
        <v>0</v>
      </c>
      <c r="E31" s="4">
        <f t="shared" si="467"/>
        <v>1</v>
      </c>
      <c r="F31" s="4">
        <f t="shared" si="467"/>
        <v>104</v>
      </c>
      <c r="G31" s="4">
        <f t="shared" si="467"/>
        <v>0</v>
      </c>
      <c r="H31" s="4">
        <f t="shared" si="467"/>
        <v>0</v>
      </c>
      <c r="I31" s="4">
        <f t="shared" si="467"/>
        <v>1</v>
      </c>
      <c r="J31" s="4">
        <f t="shared" si="467"/>
        <v>0</v>
      </c>
      <c r="K31" s="4">
        <f t="shared" si="467"/>
        <v>0</v>
      </c>
      <c r="L31" s="4">
        <f t="shared" si="467"/>
        <v>0</v>
      </c>
      <c r="M31" s="4">
        <f t="shared" si="467"/>
        <v>0</v>
      </c>
      <c r="N31" s="4">
        <f t="shared" si="467"/>
        <v>0</v>
      </c>
      <c r="O31" s="4">
        <f t="shared" si="467"/>
        <v>0</v>
      </c>
      <c r="P31" s="4">
        <f t="shared" si="467"/>
        <v>0</v>
      </c>
      <c r="Q31" s="4">
        <f t="shared" si="467"/>
        <v>0</v>
      </c>
      <c r="R31" s="4">
        <f t="shared" si="467"/>
        <v>0</v>
      </c>
      <c r="S31" s="4">
        <f t="shared" si="467"/>
        <v>0</v>
      </c>
      <c r="T31" s="4">
        <f t="shared" si="467"/>
        <v>0</v>
      </c>
      <c r="U31" s="4">
        <f t="shared" si="467"/>
        <v>0</v>
      </c>
      <c r="V31" s="4">
        <f t="shared" ref="V31:W31" si="468">V22-W22</f>
        <v>0</v>
      </c>
      <c r="W31" s="4">
        <f t="shared" si="468"/>
        <v>1</v>
      </c>
      <c r="X31" s="4">
        <f t="shared" ref="X31:Y31" si="469">X22-Y22</f>
        <v>0</v>
      </c>
      <c r="Y31" s="4">
        <f t="shared" si="469"/>
        <v>12</v>
      </c>
      <c r="Z31" s="4">
        <f t="shared" ref="Z31:AF31" si="470">Z22-AA22</f>
        <v>0</v>
      </c>
      <c r="AA31" s="4">
        <f t="shared" si="470"/>
        <v>42</v>
      </c>
      <c r="AB31" s="4">
        <f t="shared" si="470"/>
        <v>0</v>
      </c>
      <c r="AC31" s="4">
        <f t="shared" si="470"/>
        <v>0</v>
      </c>
      <c r="AD31" s="4">
        <f t="shared" si="470"/>
        <v>0</v>
      </c>
      <c r="AE31" s="4">
        <f t="shared" si="470"/>
        <v>0</v>
      </c>
      <c r="AF31" s="4">
        <f t="shared" si="470"/>
        <v>74</v>
      </c>
      <c r="AG31" s="4">
        <f t="shared" ref="AG31:DR31" si="471">AG22-AH22</f>
        <v>1</v>
      </c>
      <c r="AH31" s="4">
        <f t="shared" si="471"/>
        <v>0</v>
      </c>
      <c r="AI31" s="4">
        <f t="shared" si="471"/>
        <v>0</v>
      </c>
      <c r="AJ31" s="4">
        <f t="shared" si="471"/>
        <v>11</v>
      </c>
      <c r="AK31" s="4">
        <f t="shared" si="471"/>
        <v>0</v>
      </c>
      <c r="AL31" s="4">
        <f t="shared" si="471"/>
        <v>0</v>
      </c>
      <c r="AM31" s="4">
        <f t="shared" si="471"/>
        <v>2</v>
      </c>
      <c r="AN31" s="4">
        <f t="shared" si="471"/>
        <v>0</v>
      </c>
      <c r="AO31" s="4">
        <f t="shared" si="471"/>
        <v>0</v>
      </c>
      <c r="AP31" s="4">
        <f t="shared" si="471"/>
        <v>0</v>
      </c>
      <c r="AQ31" s="4">
        <f t="shared" si="471"/>
        <v>0</v>
      </c>
      <c r="AR31" s="4">
        <f t="shared" si="471"/>
        <v>0</v>
      </c>
      <c r="AS31" s="4">
        <f t="shared" si="471"/>
        <v>0</v>
      </c>
      <c r="AT31" s="4">
        <f t="shared" si="471"/>
        <v>0</v>
      </c>
      <c r="AU31" s="4">
        <f t="shared" si="471"/>
        <v>0</v>
      </c>
      <c r="AV31" s="4">
        <f t="shared" si="471"/>
        <v>0</v>
      </c>
      <c r="AW31" s="4">
        <f t="shared" si="471"/>
        <v>0</v>
      </c>
      <c r="AX31" s="4">
        <f t="shared" si="471"/>
        <v>0</v>
      </c>
      <c r="AY31" s="4">
        <f t="shared" si="471"/>
        <v>2</v>
      </c>
      <c r="AZ31" s="4">
        <f t="shared" si="471"/>
        <v>0</v>
      </c>
      <c r="BA31" s="4">
        <f t="shared" si="471"/>
        <v>0</v>
      </c>
      <c r="BB31" s="4">
        <f t="shared" si="471"/>
        <v>0</v>
      </c>
      <c r="BC31" s="4">
        <f t="shared" si="471"/>
        <v>0</v>
      </c>
      <c r="BD31" s="4">
        <f t="shared" si="471"/>
        <v>0</v>
      </c>
      <c r="BE31" s="4">
        <f t="shared" si="471"/>
        <v>0</v>
      </c>
      <c r="BF31" s="4">
        <f t="shared" si="471"/>
        <v>0</v>
      </c>
      <c r="BG31" s="4">
        <f t="shared" si="471"/>
        <v>5</v>
      </c>
      <c r="BH31" s="4">
        <f t="shared" si="471"/>
        <v>0</v>
      </c>
      <c r="BI31" s="4">
        <f t="shared" si="471"/>
        <v>0</v>
      </c>
      <c r="BJ31" s="4">
        <f t="shared" si="471"/>
        <v>0</v>
      </c>
      <c r="BK31" s="4">
        <f t="shared" si="471"/>
        <v>0</v>
      </c>
      <c r="BL31" s="4">
        <f t="shared" si="471"/>
        <v>0</v>
      </c>
      <c r="BM31" s="4">
        <f t="shared" si="471"/>
        <v>0</v>
      </c>
      <c r="BN31" s="4">
        <f t="shared" si="471"/>
        <v>0</v>
      </c>
      <c r="BO31" s="4">
        <f t="shared" si="471"/>
        <v>76</v>
      </c>
      <c r="BP31" s="4">
        <f t="shared" si="471"/>
        <v>0</v>
      </c>
      <c r="BQ31" s="4">
        <f t="shared" si="471"/>
        <v>0</v>
      </c>
      <c r="BR31" s="4">
        <f t="shared" si="471"/>
        <v>0</v>
      </c>
      <c r="BS31" s="4">
        <f t="shared" si="471"/>
        <v>2</v>
      </c>
      <c r="BT31" s="4">
        <f t="shared" si="471"/>
        <v>0</v>
      </c>
      <c r="BU31" s="4">
        <f t="shared" si="471"/>
        <v>0</v>
      </c>
      <c r="BV31" s="4">
        <f t="shared" si="471"/>
        <v>0</v>
      </c>
      <c r="BW31" s="4">
        <f t="shared" si="471"/>
        <v>1</v>
      </c>
      <c r="BX31" s="4">
        <f t="shared" si="471"/>
        <v>0</v>
      </c>
      <c r="BY31" s="4">
        <f t="shared" si="471"/>
        <v>0</v>
      </c>
      <c r="BZ31" s="4">
        <f t="shared" si="471"/>
        <v>0</v>
      </c>
      <c r="CA31" s="4">
        <f t="shared" si="471"/>
        <v>0</v>
      </c>
      <c r="CB31" s="4">
        <f t="shared" si="471"/>
        <v>0</v>
      </c>
      <c r="CC31" s="4">
        <f t="shared" si="471"/>
        <v>0</v>
      </c>
      <c r="CD31" s="4">
        <f t="shared" si="471"/>
        <v>0</v>
      </c>
      <c r="CE31" s="4">
        <f t="shared" si="471"/>
        <v>0</v>
      </c>
      <c r="CF31" s="4">
        <f t="shared" si="471"/>
        <v>0</v>
      </c>
      <c r="CG31" s="4">
        <f t="shared" si="471"/>
        <v>0</v>
      </c>
      <c r="CH31" s="4">
        <f t="shared" si="471"/>
        <v>0</v>
      </c>
      <c r="CI31" s="4">
        <f t="shared" si="471"/>
        <v>0</v>
      </c>
      <c r="CJ31" s="4">
        <f t="shared" si="471"/>
        <v>0</v>
      </c>
      <c r="CK31" s="4">
        <f t="shared" si="471"/>
        <v>7</v>
      </c>
      <c r="CL31" s="4">
        <f t="shared" si="471"/>
        <v>9</v>
      </c>
      <c r="CM31" s="4">
        <f t="shared" si="471"/>
        <v>0</v>
      </c>
      <c r="CN31" s="4">
        <f t="shared" si="471"/>
        <v>0</v>
      </c>
      <c r="CO31" s="4">
        <f t="shared" si="471"/>
        <v>1</v>
      </c>
      <c r="CP31" s="4">
        <f t="shared" si="471"/>
        <v>3</v>
      </c>
      <c r="CQ31" s="4">
        <f t="shared" si="471"/>
        <v>0</v>
      </c>
      <c r="CR31" s="4">
        <f t="shared" si="471"/>
        <v>0</v>
      </c>
      <c r="CS31" s="4">
        <f t="shared" si="471"/>
        <v>1</v>
      </c>
      <c r="CT31" s="4">
        <f t="shared" si="471"/>
        <v>2</v>
      </c>
      <c r="CU31" s="4">
        <f t="shared" si="471"/>
        <v>34</v>
      </c>
      <c r="CV31" s="4">
        <f t="shared" si="471"/>
        <v>0</v>
      </c>
      <c r="CW31" s="4">
        <f t="shared" si="471"/>
        <v>3</v>
      </c>
      <c r="CX31" s="4">
        <f t="shared" si="471"/>
        <v>21</v>
      </c>
      <c r="CY31" s="4">
        <f t="shared" si="471"/>
        <v>1</v>
      </c>
      <c r="CZ31" s="4">
        <f t="shared" si="471"/>
        <v>0</v>
      </c>
      <c r="DA31" s="4">
        <f t="shared" si="471"/>
        <v>0</v>
      </c>
      <c r="DB31" s="4">
        <f t="shared" si="471"/>
        <v>0</v>
      </c>
      <c r="DC31" s="4">
        <f t="shared" si="471"/>
        <v>1</v>
      </c>
      <c r="DD31" s="4">
        <f t="shared" si="471"/>
        <v>0</v>
      </c>
      <c r="DE31" s="4">
        <f t="shared" si="471"/>
        <v>5</v>
      </c>
      <c r="DF31" s="4">
        <f t="shared" si="471"/>
        <v>12</v>
      </c>
      <c r="DG31" s="4">
        <f t="shared" si="471"/>
        <v>19</v>
      </c>
      <c r="DH31" s="4">
        <f t="shared" si="471"/>
        <v>0</v>
      </c>
      <c r="DI31" s="4">
        <f t="shared" si="471"/>
        <v>1</v>
      </c>
      <c r="DJ31" s="4">
        <f t="shared" si="471"/>
        <v>0</v>
      </c>
      <c r="DK31" s="4">
        <f t="shared" si="471"/>
        <v>0</v>
      </c>
      <c r="DL31" s="4">
        <f t="shared" si="471"/>
        <v>0</v>
      </c>
      <c r="DM31" s="4">
        <f t="shared" si="471"/>
        <v>11</v>
      </c>
      <c r="DN31" s="4">
        <f t="shared" si="471"/>
        <v>1</v>
      </c>
      <c r="DO31" s="4">
        <f t="shared" si="471"/>
        <v>5</v>
      </c>
      <c r="DP31" s="4">
        <f t="shared" si="471"/>
        <v>4</v>
      </c>
      <c r="DQ31" s="4">
        <f t="shared" si="471"/>
        <v>4</v>
      </c>
      <c r="DR31" s="4">
        <f t="shared" si="471"/>
        <v>1</v>
      </c>
      <c r="DS31" s="4">
        <f t="shared" ref="DS31:DX31" si="472">DS22-DT22</f>
        <v>1</v>
      </c>
      <c r="DT31" s="4">
        <f t="shared" si="472"/>
        <v>0</v>
      </c>
      <c r="DU31" s="4">
        <f t="shared" si="472"/>
        <v>0</v>
      </c>
      <c r="DV31" s="4">
        <f t="shared" si="472"/>
        <v>0</v>
      </c>
      <c r="DW31" s="4">
        <f t="shared" si="472"/>
        <v>0</v>
      </c>
      <c r="DX31" s="4">
        <f t="shared" si="472"/>
        <v>0</v>
      </c>
      <c r="DY31" s="4">
        <f t="shared" ref="DY31:EJ31" si="473">DY22-DZ22</f>
        <v>2</v>
      </c>
      <c r="DZ31" s="4">
        <f t="shared" si="473"/>
        <v>2</v>
      </c>
      <c r="EA31" s="4">
        <f>EA22-EB22</f>
        <v>1</v>
      </c>
      <c r="EB31" s="4">
        <f t="shared" si="473"/>
        <v>0</v>
      </c>
      <c r="EC31" s="4">
        <f t="shared" si="473"/>
        <v>0</v>
      </c>
      <c r="ED31" s="4">
        <f t="shared" si="473"/>
        <v>0</v>
      </c>
      <c r="EE31" s="4">
        <f t="shared" si="473"/>
        <v>1</v>
      </c>
      <c r="EF31" s="4">
        <f t="shared" si="473"/>
        <v>1</v>
      </c>
      <c r="EG31" s="4">
        <f t="shared" si="473"/>
        <v>7</v>
      </c>
      <c r="EH31" s="4">
        <f t="shared" si="473"/>
        <v>10</v>
      </c>
      <c r="EI31" s="4">
        <f t="shared" si="473"/>
        <v>0</v>
      </c>
      <c r="EJ31" s="4">
        <f t="shared" si="473"/>
        <v>0</v>
      </c>
      <c r="EK31" s="4">
        <f t="shared" ref="EK31" si="474">EK22-EL22</f>
        <v>5</v>
      </c>
      <c r="EL31" s="4">
        <f t="shared" ref="EL31" si="475">EL22-EM22</f>
        <v>0</v>
      </c>
      <c r="EM31" s="4">
        <f t="shared" ref="EM31:FI31" si="476">EM22-EN22</f>
        <v>1</v>
      </c>
      <c r="EN31" s="4">
        <f t="shared" si="476"/>
        <v>0</v>
      </c>
      <c r="EO31" s="4">
        <f t="shared" si="476"/>
        <v>3</v>
      </c>
      <c r="EP31" s="4">
        <f t="shared" si="476"/>
        <v>6</v>
      </c>
      <c r="EQ31" s="4">
        <f t="shared" si="476"/>
        <v>1</v>
      </c>
      <c r="ER31" s="4">
        <f t="shared" si="476"/>
        <v>5</v>
      </c>
      <c r="ES31" s="4">
        <f t="shared" si="476"/>
        <v>5</v>
      </c>
      <c r="ET31" s="4">
        <f t="shared" si="476"/>
        <v>6</v>
      </c>
      <c r="EU31" s="4">
        <f t="shared" si="476"/>
        <v>1</v>
      </c>
      <c r="EV31" s="4">
        <f t="shared" si="476"/>
        <v>0</v>
      </c>
      <c r="EW31" s="4">
        <f t="shared" si="476"/>
        <v>13</v>
      </c>
      <c r="EX31" s="4">
        <f t="shared" si="476"/>
        <v>39</v>
      </c>
      <c r="EY31" s="4">
        <f t="shared" si="476"/>
        <v>7</v>
      </c>
      <c r="EZ31" s="4">
        <f t="shared" si="476"/>
        <v>3</v>
      </c>
      <c r="FA31" s="4">
        <f t="shared" si="476"/>
        <v>1</v>
      </c>
      <c r="FB31" s="4">
        <f t="shared" si="476"/>
        <v>10</v>
      </c>
      <c r="FC31" s="4">
        <f t="shared" si="476"/>
        <v>19</v>
      </c>
      <c r="FD31" s="4">
        <f t="shared" si="476"/>
        <v>34</v>
      </c>
      <c r="FE31" s="4">
        <f t="shared" si="476"/>
        <v>7</v>
      </c>
      <c r="FF31" s="4">
        <f t="shared" si="476"/>
        <v>4</v>
      </c>
      <c r="FG31" s="4">
        <f t="shared" si="476"/>
        <v>6</v>
      </c>
      <c r="FH31" s="4">
        <f t="shared" si="476"/>
        <v>2</v>
      </c>
      <c r="FI31" s="4">
        <f t="shared" si="476"/>
        <v>15</v>
      </c>
      <c r="FJ31" s="4">
        <f t="shared" ref="FJ31" si="477">FJ22-FK22</f>
        <v>16</v>
      </c>
      <c r="FK31" s="4">
        <f t="shared" ref="FK31:GA31" si="478">FK22-FL22</f>
        <v>45</v>
      </c>
      <c r="FL31" s="4">
        <f t="shared" si="478"/>
        <v>50</v>
      </c>
      <c r="FM31" s="4">
        <f t="shared" si="478"/>
        <v>19</v>
      </c>
      <c r="FN31" s="4">
        <f t="shared" si="478"/>
        <v>12</v>
      </c>
      <c r="FO31" s="4">
        <f t="shared" si="478"/>
        <v>37</v>
      </c>
      <c r="FP31" s="4">
        <f t="shared" si="478"/>
        <v>36</v>
      </c>
      <c r="FQ31" s="4">
        <f t="shared" si="478"/>
        <v>95</v>
      </c>
      <c r="FR31" s="4">
        <f t="shared" si="478"/>
        <v>22</v>
      </c>
      <c r="FS31" s="4">
        <f t="shared" si="478"/>
        <v>17</v>
      </c>
      <c r="FT31" s="4">
        <f t="shared" si="478"/>
        <v>4</v>
      </c>
      <c r="FU31" s="4">
        <f t="shared" si="478"/>
        <v>19</v>
      </c>
      <c r="FV31" s="4">
        <f t="shared" si="478"/>
        <v>45</v>
      </c>
      <c r="FW31" s="4">
        <f t="shared" si="478"/>
        <v>20</v>
      </c>
      <c r="FX31" s="4">
        <f t="shared" si="478"/>
        <v>25</v>
      </c>
      <c r="FY31" s="4">
        <f t="shared" si="478"/>
        <v>13</v>
      </c>
      <c r="FZ31" s="4">
        <f t="shared" si="478"/>
        <v>12</v>
      </c>
      <c r="GA31" s="4">
        <f t="shared" si="478"/>
        <v>3</v>
      </c>
      <c r="GB31" s="4">
        <f t="shared" ref="GB31:IC31" si="479">GB22-GC22</f>
        <v>8</v>
      </c>
      <c r="GC31" s="4">
        <f t="shared" si="479"/>
        <v>1</v>
      </c>
      <c r="GD31" s="4">
        <f t="shared" si="479"/>
        <v>6</v>
      </c>
      <c r="GE31" s="4">
        <f t="shared" si="479"/>
        <v>31</v>
      </c>
      <c r="GF31" s="4">
        <f t="shared" si="479"/>
        <v>21</v>
      </c>
      <c r="GG31" s="4">
        <f t="shared" si="479"/>
        <v>0</v>
      </c>
      <c r="GH31" s="4">
        <f t="shared" si="479"/>
        <v>10</v>
      </c>
      <c r="GI31" s="4">
        <f t="shared" si="479"/>
        <v>22</v>
      </c>
      <c r="GJ31" s="4">
        <f t="shared" si="479"/>
        <v>29</v>
      </c>
      <c r="GK31" s="4">
        <f t="shared" si="479"/>
        <v>41</v>
      </c>
      <c r="GL31" s="4">
        <f t="shared" si="479"/>
        <v>20</v>
      </c>
      <c r="GM31" s="4">
        <f t="shared" si="479"/>
        <v>64</v>
      </c>
      <c r="GN31" s="4">
        <f t="shared" si="479"/>
        <v>64</v>
      </c>
      <c r="GO31" s="4">
        <f t="shared" si="479"/>
        <v>200</v>
      </c>
      <c r="GP31" s="4">
        <f t="shared" si="479"/>
        <v>27</v>
      </c>
      <c r="GQ31" s="4">
        <f t="shared" si="479"/>
        <v>8</v>
      </c>
      <c r="GR31" s="4">
        <f t="shared" si="479"/>
        <v>33</v>
      </c>
      <c r="GS31" s="4">
        <f t="shared" si="479"/>
        <v>62</v>
      </c>
      <c r="GT31" s="4">
        <f t="shared" si="479"/>
        <v>82</v>
      </c>
      <c r="GU31" s="4">
        <f t="shared" si="479"/>
        <v>127</v>
      </c>
      <c r="GV31" s="4">
        <f t="shared" si="479"/>
        <v>170</v>
      </c>
      <c r="GW31" s="4">
        <f t="shared" si="479"/>
        <v>433</v>
      </c>
      <c r="GX31" s="4">
        <f t="shared" si="479"/>
        <v>312</v>
      </c>
      <c r="GY31" s="4">
        <f t="shared" si="479"/>
        <v>872</v>
      </c>
      <c r="GZ31" s="4">
        <f t="shared" si="479"/>
        <v>263</v>
      </c>
      <c r="HA31" s="4">
        <f t="shared" si="479"/>
        <v>1046</v>
      </c>
      <c r="HB31" s="4">
        <f t="shared" si="479"/>
        <v>930</v>
      </c>
      <c r="HC31" s="4">
        <f t="shared" si="479"/>
        <v>850</v>
      </c>
      <c r="HD31" s="4">
        <f t="shared" si="479"/>
        <v>1024</v>
      </c>
      <c r="HE31" s="4">
        <f t="shared" si="479"/>
        <v>1150</v>
      </c>
      <c r="HF31" s="4">
        <f t="shared" si="479"/>
        <v>417</v>
      </c>
      <c r="HG31" s="4">
        <f t="shared" si="479"/>
        <v>445</v>
      </c>
      <c r="HH31" s="4">
        <f t="shared" si="479"/>
        <v>508</v>
      </c>
      <c r="HI31" s="4">
        <f t="shared" si="479"/>
        <v>609</v>
      </c>
      <c r="HJ31" s="4">
        <f t="shared" si="479"/>
        <v>1283</v>
      </c>
      <c r="HK31" s="4">
        <f t="shared" si="479"/>
        <v>852</v>
      </c>
      <c r="HL31" s="4">
        <f t="shared" si="479"/>
        <v>921</v>
      </c>
      <c r="HM31" s="4">
        <f t="shared" si="479"/>
        <v>1376</v>
      </c>
      <c r="HN31" s="4">
        <f t="shared" si="479"/>
        <v>1482</v>
      </c>
      <c r="HO31" s="4">
        <f t="shared" si="479"/>
        <v>1149</v>
      </c>
      <c r="HP31" s="4">
        <f t="shared" si="479"/>
        <v>1505</v>
      </c>
      <c r="HQ31" s="4">
        <f t="shared" si="479"/>
        <v>1124</v>
      </c>
      <c r="HR31" s="4">
        <f t="shared" si="479"/>
        <v>1494</v>
      </c>
      <c r="HS31" s="4">
        <f t="shared" si="479"/>
        <v>1514</v>
      </c>
      <c r="HT31" s="4">
        <f t="shared" si="479"/>
        <v>970</v>
      </c>
      <c r="HU31" s="4">
        <f t="shared" si="479"/>
        <v>1359</v>
      </c>
      <c r="HV31" s="4">
        <f t="shared" si="479"/>
        <v>754</v>
      </c>
      <c r="HW31" s="4">
        <f t="shared" si="479"/>
        <v>1165</v>
      </c>
      <c r="HX31" s="4">
        <f t="shared" si="479"/>
        <v>198</v>
      </c>
      <c r="HY31" s="4">
        <f t="shared" si="479"/>
        <v>498</v>
      </c>
      <c r="HZ31" s="4">
        <f t="shared" si="479"/>
        <v>359</v>
      </c>
      <c r="IA31" s="4">
        <f t="shared" si="479"/>
        <v>354</v>
      </c>
      <c r="IB31" s="4">
        <f t="shared" si="479"/>
        <v>202</v>
      </c>
      <c r="IC31" s="4">
        <f t="shared" si="479"/>
        <v>108</v>
      </c>
    </row>
    <row r="32" spans="1:237">
      <c r="A32" s="4" t="s">
        <v>94</v>
      </c>
      <c r="B32" s="4">
        <f t="shared" ref="B32:AC32" si="480">B22-C22-B23+C23</f>
        <v>0</v>
      </c>
      <c r="C32" s="4">
        <f t="shared" si="480"/>
        <v>0</v>
      </c>
      <c r="D32" s="4">
        <f t="shared" si="480"/>
        <v>1</v>
      </c>
      <c r="E32" s="4">
        <f t="shared" si="480"/>
        <v>0</v>
      </c>
      <c r="F32" s="4">
        <f t="shared" si="480"/>
        <v>0</v>
      </c>
      <c r="G32" s="4">
        <f t="shared" si="480"/>
        <v>0</v>
      </c>
      <c r="H32" s="4">
        <f t="shared" si="480"/>
        <v>0</v>
      </c>
      <c r="I32" s="4">
        <f t="shared" si="480"/>
        <v>0</v>
      </c>
      <c r="J32" s="4">
        <f t="shared" si="480"/>
        <v>0</v>
      </c>
      <c r="K32" s="4">
        <f t="shared" si="480"/>
        <v>0</v>
      </c>
      <c r="L32" s="4">
        <f t="shared" si="480"/>
        <v>0</v>
      </c>
      <c r="M32" s="4">
        <f t="shared" si="480"/>
        <v>0</v>
      </c>
      <c r="N32" s="4">
        <f t="shared" si="480"/>
        <v>0</v>
      </c>
      <c r="O32" s="4">
        <f t="shared" si="480"/>
        <v>0</v>
      </c>
      <c r="P32" s="4">
        <f t="shared" si="480"/>
        <v>0</v>
      </c>
      <c r="Q32" s="4">
        <f t="shared" si="480"/>
        <v>1</v>
      </c>
      <c r="R32" s="4">
        <f t="shared" si="480"/>
        <v>123</v>
      </c>
      <c r="S32" s="4">
        <f t="shared" si="480"/>
        <v>0</v>
      </c>
      <c r="T32" s="4">
        <f t="shared" si="480"/>
        <v>0</v>
      </c>
      <c r="U32" s="4">
        <f t="shared" si="480"/>
        <v>0</v>
      </c>
      <c r="V32" s="4">
        <f t="shared" si="480"/>
        <v>2</v>
      </c>
      <c r="W32" s="4">
        <f t="shared" si="480"/>
        <v>0</v>
      </c>
      <c r="X32" s="4">
        <f t="shared" si="480"/>
        <v>0</v>
      </c>
      <c r="Y32" s="4">
        <f t="shared" si="480"/>
        <v>2</v>
      </c>
      <c r="Z32" s="4">
        <f t="shared" si="480"/>
        <v>0</v>
      </c>
      <c r="AA32" s="4">
        <f t="shared" si="480"/>
        <v>0</v>
      </c>
      <c r="AB32" s="4">
        <f t="shared" si="480"/>
        <v>3</v>
      </c>
      <c r="AC32" s="4">
        <f t="shared" si="480"/>
        <v>3</v>
      </c>
      <c r="AD32" s="4">
        <f t="shared" ref="AD32:AJ32" si="481">AD22-AE22-AD23+AE23</f>
        <v>0</v>
      </c>
      <c r="AE32" s="4">
        <f t="shared" si="481"/>
        <v>0</v>
      </c>
      <c r="AF32" s="4">
        <f t="shared" si="481"/>
        <v>1</v>
      </c>
      <c r="AG32" s="4">
        <f t="shared" si="481"/>
        <v>0</v>
      </c>
      <c r="AH32" s="4">
        <f t="shared" si="481"/>
        <v>0</v>
      </c>
      <c r="AI32" s="4">
        <f t="shared" si="481"/>
        <v>8</v>
      </c>
      <c r="AJ32" s="4">
        <f t="shared" si="481"/>
        <v>0</v>
      </c>
      <c r="AK32" s="4">
        <f t="shared" ref="AK32:BF32" si="482">AK22-AL22-AK23+AL23</f>
        <v>0</v>
      </c>
      <c r="AL32" s="4">
        <f t="shared" si="482"/>
        <v>1</v>
      </c>
      <c r="AM32" s="4">
        <f t="shared" si="482"/>
        <v>0</v>
      </c>
      <c r="AN32" s="4">
        <f t="shared" si="482"/>
        <v>0</v>
      </c>
      <c r="AO32" s="4">
        <f t="shared" si="482"/>
        <v>0</v>
      </c>
      <c r="AP32" s="4">
        <f t="shared" si="482"/>
        <v>0</v>
      </c>
      <c r="AQ32" s="4">
        <f t="shared" si="482"/>
        <v>0</v>
      </c>
      <c r="AR32" s="4">
        <f t="shared" si="482"/>
        <v>0</v>
      </c>
      <c r="AS32" s="4">
        <f t="shared" si="482"/>
        <v>0</v>
      </c>
      <c r="AT32" s="4">
        <f t="shared" si="482"/>
        <v>1</v>
      </c>
      <c r="AU32" s="4">
        <f t="shared" si="482"/>
        <v>2</v>
      </c>
      <c r="AV32" s="4">
        <f t="shared" si="482"/>
        <v>0</v>
      </c>
      <c r="AW32" s="4">
        <f t="shared" si="482"/>
        <v>3</v>
      </c>
      <c r="AX32" s="4">
        <f t="shared" si="482"/>
        <v>0</v>
      </c>
      <c r="AY32" s="4">
        <f t="shared" si="482"/>
        <v>0</v>
      </c>
      <c r="AZ32" s="4">
        <f t="shared" si="482"/>
        <v>0</v>
      </c>
      <c r="BA32" s="4">
        <f t="shared" si="482"/>
        <v>0</v>
      </c>
      <c r="BB32" s="4">
        <f t="shared" si="482"/>
        <v>0</v>
      </c>
      <c r="BC32" s="4">
        <f t="shared" si="482"/>
        <v>76</v>
      </c>
      <c r="BD32" s="4">
        <f t="shared" si="482"/>
        <v>0</v>
      </c>
      <c r="BE32" s="4">
        <f t="shared" si="482"/>
        <v>0</v>
      </c>
      <c r="BF32" s="4">
        <f t="shared" si="482"/>
        <v>2</v>
      </c>
      <c r="BG32" s="4">
        <f t="shared" ref="BG32:BH32" si="483">BG22-BH22-BG23+BH23</f>
        <v>0</v>
      </c>
      <c r="BH32" s="4">
        <f t="shared" si="483"/>
        <v>0</v>
      </c>
      <c r="BI32" s="4">
        <f t="shared" ref="BI32:BS32" si="484">BI22-BJ22-BI23+BJ23</f>
        <v>0</v>
      </c>
      <c r="BJ32" s="4">
        <f t="shared" si="484"/>
        <v>0</v>
      </c>
      <c r="BK32" s="4">
        <f t="shared" si="484"/>
        <v>0</v>
      </c>
      <c r="BL32" s="4">
        <f t="shared" si="484"/>
        <v>0</v>
      </c>
      <c r="BM32" s="4">
        <f t="shared" si="484"/>
        <v>0</v>
      </c>
      <c r="BN32" s="4">
        <f t="shared" si="484"/>
        <v>0</v>
      </c>
      <c r="BO32" s="4">
        <f t="shared" si="484"/>
        <v>0</v>
      </c>
      <c r="BP32" s="4">
        <f t="shared" si="484"/>
        <v>0</v>
      </c>
      <c r="BQ32" s="4">
        <f t="shared" si="484"/>
        <v>0</v>
      </c>
      <c r="BR32" s="4">
        <f t="shared" si="484"/>
        <v>0</v>
      </c>
      <c r="BS32" s="4">
        <f t="shared" si="484"/>
        <v>0</v>
      </c>
      <c r="BT32" s="4">
        <f t="shared" ref="BT32:ER32" si="485">BT22-BU22-BT23+BU23</f>
        <v>0</v>
      </c>
      <c r="BU32" s="4">
        <f t="shared" si="485"/>
        <v>1</v>
      </c>
      <c r="BV32" s="4">
        <f t="shared" si="485"/>
        <v>0</v>
      </c>
      <c r="BW32" s="4">
        <f t="shared" si="485"/>
        <v>0</v>
      </c>
      <c r="BX32" s="4">
        <f t="shared" si="485"/>
        <v>0</v>
      </c>
      <c r="BY32" s="4">
        <f t="shared" si="485"/>
        <v>0</v>
      </c>
      <c r="BZ32" s="4">
        <f t="shared" si="485"/>
        <v>6</v>
      </c>
      <c r="CA32" s="4">
        <f t="shared" si="485"/>
        <v>2</v>
      </c>
      <c r="CB32" s="4">
        <f t="shared" si="485"/>
        <v>2</v>
      </c>
      <c r="CC32" s="4">
        <f t="shared" si="485"/>
        <v>5</v>
      </c>
      <c r="CD32" s="4">
        <f t="shared" si="485"/>
        <v>3</v>
      </c>
      <c r="CE32" s="4">
        <f t="shared" si="485"/>
        <v>0</v>
      </c>
      <c r="CF32" s="4">
        <f t="shared" si="485"/>
        <v>1</v>
      </c>
      <c r="CG32" s="4">
        <f t="shared" si="485"/>
        <v>0</v>
      </c>
      <c r="CH32" s="4">
        <f t="shared" si="485"/>
        <v>1</v>
      </c>
      <c r="CI32" s="4">
        <f t="shared" si="485"/>
        <v>1</v>
      </c>
      <c r="CJ32" s="4">
        <f t="shared" si="485"/>
        <v>0</v>
      </c>
      <c r="CK32" s="4">
        <f t="shared" si="485"/>
        <v>0</v>
      </c>
      <c r="CL32" s="4">
        <f t="shared" si="485"/>
        <v>0</v>
      </c>
      <c r="CM32" s="4">
        <f t="shared" si="485"/>
        <v>5</v>
      </c>
      <c r="CN32" s="4">
        <f t="shared" si="485"/>
        <v>0</v>
      </c>
      <c r="CO32" s="4">
        <f t="shared" si="485"/>
        <v>0</v>
      </c>
      <c r="CP32" s="4">
        <f t="shared" si="485"/>
        <v>0</v>
      </c>
      <c r="CQ32" s="4">
        <f t="shared" si="485"/>
        <v>3</v>
      </c>
      <c r="CR32" s="4">
        <f t="shared" si="485"/>
        <v>0</v>
      </c>
      <c r="CS32" s="4">
        <f t="shared" si="485"/>
        <v>6</v>
      </c>
      <c r="CT32" s="4">
        <f t="shared" si="485"/>
        <v>12</v>
      </c>
      <c r="CU32" s="4">
        <f>CU22-CV22-CU23+CV23</f>
        <v>38</v>
      </c>
      <c r="CV32" s="4">
        <f>CV22-CW22-CV23+CW23</f>
        <v>4</v>
      </c>
      <c r="CW32" s="4">
        <f t="shared" si="485"/>
        <v>20</v>
      </c>
      <c r="CX32" s="4">
        <f t="shared" si="485"/>
        <v>6</v>
      </c>
      <c r="CY32" s="4">
        <f t="shared" si="485"/>
        <v>5</v>
      </c>
      <c r="CZ32" s="4">
        <f t="shared" si="485"/>
        <v>0</v>
      </c>
      <c r="DA32" s="4">
        <f t="shared" si="485"/>
        <v>1</v>
      </c>
      <c r="DB32" s="4">
        <f t="shared" si="485"/>
        <v>0</v>
      </c>
      <c r="DC32" s="4">
        <f t="shared" si="485"/>
        <v>1</v>
      </c>
      <c r="DD32" s="4">
        <f t="shared" si="485"/>
        <v>0</v>
      </c>
      <c r="DE32" s="4">
        <f t="shared" si="485"/>
        <v>2</v>
      </c>
      <c r="DF32" s="4">
        <f t="shared" si="485"/>
        <v>10</v>
      </c>
      <c r="DG32" s="4">
        <f t="shared" si="485"/>
        <v>0</v>
      </c>
      <c r="DH32" s="4">
        <f t="shared" si="485"/>
        <v>7</v>
      </c>
      <c r="DI32" s="4">
        <f t="shared" si="485"/>
        <v>4</v>
      </c>
      <c r="DJ32" s="4">
        <f t="shared" si="485"/>
        <v>0</v>
      </c>
      <c r="DK32" s="4">
        <f t="shared" si="485"/>
        <v>0</v>
      </c>
      <c r="DL32" s="4">
        <f t="shared" si="485"/>
        <v>0</v>
      </c>
      <c r="DM32" s="4">
        <f t="shared" si="485"/>
        <v>0</v>
      </c>
      <c r="DN32" s="4">
        <f t="shared" si="485"/>
        <v>2</v>
      </c>
      <c r="DO32" s="4">
        <f t="shared" si="485"/>
        <v>0</v>
      </c>
      <c r="DP32" s="4">
        <f t="shared" si="485"/>
        <v>1</v>
      </c>
      <c r="DQ32" s="4">
        <f t="shared" si="485"/>
        <v>0</v>
      </c>
      <c r="DR32" s="4">
        <f t="shared" si="485"/>
        <v>0</v>
      </c>
      <c r="DS32" s="4">
        <f t="shared" si="485"/>
        <v>0</v>
      </c>
      <c r="DT32" s="4">
        <f t="shared" si="485"/>
        <v>0</v>
      </c>
      <c r="DU32" s="4">
        <f t="shared" si="485"/>
        <v>4</v>
      </c>
      <c r="DV32" s="4">
        <f t="shared" si="485"/>
        <v>1</v>
      </c>
      <c r="DW32" s="4">
        <f t="shared" si="485"/>
        <v>0</v>
      </c>
      <c r="DX32" s="4">
        <f t="shared" si="485"/>
        <v>0</v>
      </c>
      <c r="DY32" s="4">
        <f t="shared" si="485"/>
        <v>0</v>
      </c>
      <c r="DZ32" s="4">
        <f t="shared" si="485"/>
        <v>0</v>
      </c>
      <c r="EA32" s="4">
        <f t="shared" si="485"/>
        <v>0</v>
      </c>
      <c r="EB32" s="4">
        <f t="shared" si="485"/>
        <v>0</v>
      </c>
      <c r="EC32" s="4">
        <f t="shared" si="485"/>
        <v>2</v>
      </c>
      <c r="ED32" s="4">
        <f t="shared" si="485"/>
        <v>13</v>
      </c>
      <c r="EE32" s="4">
        <f t="shared" si="485"/>
        <v>5</v>
      </c>
      <c r="EF32" s="4">
        <f t="shared" si="485"/>
        <v>1</v>
      </c>
      <c r="EG32" s="4">
        <f t="shared" si="485"/>
        <v>2</v>
      </c>
      <c r="EH32" s="4">
        <f t="shared" si="485"/>
        <v>8</v>
      </c>
      <c r="EI32" s="4">
        <f t="shared" si="485"/>
        <v>9</v>
      </c>
      <c r="EJ32" s="4">
        <f t="shared" si="485"/>
        <v>3</v>
      </c>
      <c r="EK32" s="4">
        <f t="shared" si="485"/>
        <v>1</v>
      </c>
      <c r="EL32" s="4">
        <f t="shared" si="485"/>
        <v>8</v>
      </c>
      <c r="EM32" s="4">
        <f t="shared" si="485"/>
        <v>0</v>
      </c>
      <c r="EN32" s="4">
        <f t="shared" si="485"/>
        <v>39</v>
      </c>
      <c r="EO32" s="4">
        <f t="shared" si="485"/>
        <v>13</v>
      </c>
      <c r="EP32" s="4">
        <f t="shared" si="485"/>
        <v>2</v>
      </c>
      <c r="EQ32" s="4">
        <f t="shared" si="485"/>
        <v>3</v>
      </c>
      <c r="ER32" s="4">
        <f t="shared" si="485"/>
        <v>14</v>
      </c>
      <c r="ES32" s="4">
        <f t="shared" ref="ES32" si="486">ES22-ET22-ES23+ET23</f>
        <v>6</v>
      </c>
      <c r="ET32" s="4">
        <f t="shared" ref="ET32" si="487">ET22-EU22-ET23+EU23</f>
        <v>2</v>
      </c>
      <c r="EU32" s="4">
        <f t="shared" ref="EU32" si="488">EU22-EV22-EU23+EV23</f>
        <v>0</v>
      </c>
      <c r="EV32" s="4">
        <f t="shared" ref="EV32:FV32" si="489">EV22-EW22-EV23+EW23</f>
        <v>1</v>
      </c>
      <c r="EW32" s="4">
        <f t="shared" si="489"/>
        <v>0</v>
      </c>
      <c r="EX32" s="4">
        <f t="shared" si="489"/>
        <v>20</v>
      </c>
      <c r="EY32" s="4">
        <f t="shared" si="489"/>
        <v>8</v>
      </c>
      <c r="EZ32" s="4">
        <f t="shared" si="489"/>
        <v>12</v>
      </c>
      <c r="FA32" s="4">
        <f t="shared" si="489"/>
        <v>7</v>
      </c>
      <c r="FB32" s="4">
        <f t="shared" si="489"/>
        <v>34</v>
      </c>
      <c r="FC32" s="4">
        <f t="shared" si="489"/>
        <v>44</v>
      </c>
      <c r="FD32" s="4">
        <f t="shared" si="489"/>
        <v>59</v>
      </c>
      <c r="FE32" s="4">
        <f t="shared" si="489"/>
        <v>62</v>
      </c>
      <c r="FF32" s="4">
        <f t="shared" si="489"/>
        <v>62</v>
      </c>
      <c r="FG32" s="4">
        <f t="shared" si="489"/>
        <v>40</v>
      </c>
      <c r="FH32" s="4">
        <f t="shared" si="489"/>
        <v>24</v>
      </c>
      <c r="FI32" s="4">
        <f t="shared" si="489"/>
        <v>33</v>
      </c>
      <c r="FJ32" s="4">
        <f t="shared" si="489"/>
        <v>52</v>
      </c>
      <c r="FK32" s="4">
        <f t="shared" si="489"/>
        <v>28</v>
      </c>
      <c r="FL32" s="4">
        <f t="shared" si="489"/>
        <v>20</v>
      </c>
      <c r="FM32" s="4">
        <f t="shared" si="489"/>
        <v>10</v>
      </c>
      <c r="FN32" s="4">
        <f t="shared" si="489"/>
        <v>9</v>
      </c>
      <c r="FO32" s="4">
        <f t="shared" si="489"/>
        <v>17</v>
      </c>
      <c r="FP32" s="4">
        <f t="shared" si="489"/>
        <v>14</v>
      </c>
      <c r="FQ32" s="4">
        <f t="shared" si="489"/>
        <v>9</v>
      </c>
      <c r="FR32" s="4">
        <f t="shared" si="489"/>
        <v>22</v>
      </c>
      <c r="FS32" s="4">
        <f t="shared" si="489"/>
        <v>14</v>
      </c>
      <c r="FT32" s="4">
        <f t="shared" si="489"/>
        <v>3</v>
      </c>
      <c r="FU32" s="4">
        <f t="shared" si="489"/>
        <v>11</v>
      </c>
      <c r="FV32" s="4">
        <f t="shared" si="489"/>
        <v>4</v>
      </c>
      <c r="FW32" s="4">
        <f t="shared" ref="FW32:IC32" si="490">FW22-FX22-FW23+FX23</f>
        <v>32</v>
      </c>
      <c r="FX32" s="4">
        <f t="shared" si="490"/>
        <v>4</v>
      </c>
      <c r="FY32" s="4">
        <f t="shared" si="490"/>
        <v>10</v>
      </c>
      <c r="FZ32" s="4">
        <f t="shared" si="490"/>
        <v>45</v>
      </c>
      <c r="GA32" s="4">
        <f t="shared" si="490"/>
        <v>21</v>
      </c>
      <c r="GB32" s="4">
        <f t="shared" si="490"/>
        <v>40</v>
      </c>
      <c r="GC32" s="4">
        <f t="shared" si="490"/>
        <v>25</v>
      </c>
      <c r="GD32" s="4">
        <f t="shared" si="490"/>
        <v>22</v>
      </c>
      <c r="GE32" s="4">
        <f t="shared" si="490"/>
        <v>193</v>
      </c>
      <c r="GF32" s="4">
        <f t="shared" si="490"/>
        <v>11</v>
      </c>
      <c r="GG32" s="4">
        <f t="shared" si="490"/>
        <v>10</v>
      </c>
      <c r="GH32" s="4">
        <f t="shared" si="490"/>
        <v>47</v>
      </c>
      <c r="GI32" s="4">
        <f t="shared" si="490"/>
        <v>34</v>
      </c>
      <c r="GJ32" s="4">
        <f t="shared" si="490"/>
        <v>40</v>
      </c>
      <c r="GK32" s="4">
        <f t="shared" si="490"/>
        <v>68</v>
      </c>
      <c r="GL32" s="4">
        <f t="shared" si="490"/>
        <v>49</v>
      </c>
      <c r="GM32" s="4">
        <f t="shared" si="490"/>
        <v>74</v>
      </c>
      <c r="GN32" s="4">
        <f t="shared" si="490"/>
        <v>47</v>
      </c>
      <c r="GO32" s="4">
        <f t="shared" si="490"/>
        <v>79</v>
      </c>
      <c r="GP32" s="4">
        <f t="shared" si="490"/>
        <v>75</v>
      </c>
      <c r="GQ32" s="4">
        <f t="shared" si="490"/>
        <v>204</v>
      </c>
      <c r="GR32" s="4">
        <f t="shared" si="490"/>
        <v>301</v>
      </c>
      <c r="GS32" s="4">
        <f t="shared" si="490"/>
        <v>437</v>
      </c>
      <c r="GT32" s="4">
        <f t="shared" si="490"/>
        <v>564</v>
      </c>
      <c r="GU32" s="4">
        <f t="shared" si="490"/>
        <v>814</v>
      </c>
      <c r="GV32" s="4">
        <f t="shared" si="490"/>
        <v>493</v>
      </c>
      <c r="GW32" s="4">
        <f t="shared" si="490"/>
        <v>500</v>
      </c>
      <c r="GX32" s="4">
        <f t="shared" si="490"/>
        <v>1010</v>
      </c>
      <c r="GY32" s="4">
        <f t="shared" si="490"/>
        <v>677</v>
      </c>
      <c r="GZ32" s="4">
        <f t="shared" si="490"/>
        <v>176</v>
      </c>
      <c r="HA32" s="4">
        <f t="shared" si="490"/>
        <v>1403</v>
      </c>
      <c r="HB32" s="4">
        <f t="shared" si="490"/>
        <v>978</v>
      </c>
      <c r="HC32" s="4">
        <f t="shared" si="490"/>
        <v>1060</v>
      </c>
      <c r="HD32" s="4">
        <f t="shared" si="490"/>
        <v>1253</v>
      </c>
      <c r="HE32" s="4">
        <f t="shared" si="490"/>
        <v>1631</v>
      </c>
      <c r="HF32" s="4">
        <f t="shared" si="490"/>
        <v>1504</v>
      </c>
      <c r="HG32" s="4">
        <f t="shared" si="490"/>
        <v>-5212</v>
      </c>
      <c r="HH32" s="4">
        <f t="shared" si="490"/>
        <v>508</v>
      </c>
      <c r="HI32" s="4">
        <f t="shared" si="490"/>
        <v>609</v>
      </c>
      <c r="HJ32" s="4">
        <f t="shared" si="490"/>
        <v>1283</v>
      </c>
      <c r="HK32" s="4">
        <f t="shared" si="490"/>
        <v>852</v>
      </c>
      <c r="HL32" s="4">
        <f t="shared" si="490"/>
        <v>921</v>
      </c>
      <c r="HM32" s="4">
        <f t="shared" si="490"/>
        <v>1376</v>
      </c>
      <c r="HN32" s="4">
        <f t="shared" si="490"/>
        <v>1482</v>
      </c>
      <c r="HO32" s="4">
        <f t="shared" si="490"/>
        <v>1149</v>
      </c>
      <c r="HP32" s="4">
        <f t="shared" si="490"/>
        <v>1505</v>
      </c>
      <c r="HQ32" s="4">
        <f t="shared" si="490"/>
        <v>1124</v>
      </c>
      <c r="HR32" s="4">
        <f t="shared" si="490"/>
        <v>1494</v>
      </c>
      <c r="HS32" s="4">
        <f t="shared" si="490"/>
        <v>1514</v>
      </c>
      <c r="HT32" s="4">
        <f t="shared" si="490"/>
        <v>970</v>
      </c>
      <c r="HU32" s="4">
        <f t="shared" si="490"/>
        <v>1359</v>
      </c>
      <c r="HV32" s="4">
        <f t="shared" si="490"/>
        <v>754</v>
      </c>
      <c r="HW32" s="4">
        <f t="shared" si="490"/>
        <v>1165</v>
      </c>
      <c r="HX32" s="4">
        <f t="shared" si="490"/>
        <v>198</v>
      </c>
      <c r="HY32" s="4">
        <f t="shared" si="490"/>
        <v>498</v>
      </c>
      <c r="HZ32" s="4">
        <f t="shared" si="490"/>
        <v>359</v>
      </c>
      <c r="IA32" s="4">
        <f t="shared" si="490"/>
        <v>354</v>
      </c>
      <c r="IB32" s="4">
        <f t="shared" si="490"/>
        <v>202</v>
      </c>
      <c r="IC32" s="4">
        <f t="shared" si="490"/>
        <v>108</v>
      </c>
    </row>
    <row r="33" spans="1:168">
      <c r="A33" s="4" t="s">
        <v>104</v>
      </c>
      <c r="B33" s="4">
        <v>0</v>
      </c>
      <c r="C33" s="4">
        <v>0</v>
      </c>
      <c r="D33" s="4">
        <v>0</v>
      </c>
      <c r="E33" s="4">
        <v>0</v>
      </c>
      <c r="F33" s="4">
        <v>1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1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1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1</v>
      </c>
      <c r="FG33" s="4">
        <v>0</v>
      </c>
      <c r="FH33" s="4">
        <v>0</v>
      </c>
      <c r="FI33" s="4">
        <v>0</v>
      </c>
      <c r="FJ33" s="4">
        <v>0</v>
      </c>
      <c r="FK33" s="4">
        <v>1</v>
      </c>
      <c r="FL33" s="4">
        <v>0</v>
      </c>
    </row>
    <row r="34" spans="1:168">
      <c r="A34" s="4" t="s">
        <v>105</v>
      </c>
      <c r="B34" s="4">
        <v>1</v>
      </c>
      <c r="C34" s="4">
        <v>1</v>
      </c>
      <c r="D34" s="4">
        <v>1</v>
      </c>
      <c r="E34" s="4">
        <v>1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2</v>
      </c>
      <c r="P34" s="4">
        <v>2</v>
      </c>
      <c r="Q34" s="4">
        <v>2</v>
      </c>
      <c r="R34" s="4">
        <v>3</v>
      </c>
      <c r="S34" s="4">
        <v>3</v>
      </c>
      <c r="T34" s="4">
        <v>3</v>
      </c>
      <c r="U34" s="4">
        <v>3</v>
      </c>
      <c r="V34" s="4">
        <v>3</v>
      </c>
      <c r="W34" s="4">
        <v>3</v>
      </c>
      <c r="X34" s="4">
        <v>3</v>
      </c>
      <c r="Y34" s="4">
        <v>3</v>
      </c>
      <c r="Z34" s="4">
        <v>2</v>
      </c>
      <c r="AA34" s="4">
        <v>2</v>
      </c>
      <c r="AB34" s="4">
        <v>1</v>
      </c>
      <c r="AC34" s="4">
        <v>1</v>
      </c>
      <c r="AD34" s="4">
        <v>1</v>
      </c>
      <c r="AE34" s="4">
        <v>1</v>
      </c>
      <c r="AF34" s="4">
        <v>1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1</v>
      </c>
      <c r="AY34" s="4">
        <v>1</v>
      </c>
      <c r="AZ34" s="4">
        <v>1</v>
      </c>
      <c r="BA34" s="4">
        <v>1</v>
      </c>
      <c r="BB34" s="4">
        <v>1</v>
      </c>
      <c r="BC34" s="4">
        <v>1</v>
      </c>
      <c r="BD34" s="4">
        <v>1</v>
      </c>
      <c r="BE34" s="4">
        <v>1</v>
      </c>
      <c r="BF34" s="4">
        <v>1</v>
      </c>
      <c r="BG34" s="4">
        <v>1</v>
      </c>
      <c r="BH34" s="4">
        <v>1</v>
      </c>
      <c r="BI34" s="4">
        <v>1</v>
      </c>
      <c r="BJ34" s="4">
        <v>1</v>
      </c>
      <c r="BK34" s="4">
        <v>1</v>
      </c>
      <c r="BL34" s="4">
        <v>1</v>
      </c>
      <c r="BM34" s="4">
        <v>1</v>
      </c>
      <c r="BN34" s="4">
        <v>1</v>
      </c>
      <c r="BO34" s="4">
        <v>1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1</v>
      </c>
      <c r="DY34" s="4">
        <v>0</v>
      </c>
      <c r="DZ34" s="4">
        <v>1</v>
      </c>
      <c r="EA34" s="4">
        <v>1</v>
      </c>
      <c r="EB34" s="4">
        <v>1</v>
      </c>
      <c r="EC34" s="4">
        <v>1</v>
      </c>
      <c r="ED34" s="4">
        <v>1</v>
      </c>
      <c r="EE34" s="4">
        <v>1</v>
      </c>
      <c r="EF34" s="4">
        <v>1</v>
      </c>
      <c r="EG34" s="4">
        <v>1</v>
      </c>
      <c r="EH34" s="4">
        <v>1</v>
      </c>
      <c r="EI34" s="4">
        <v>1</v>
      </c>
      <c r="EJ34" s="4">
        <v>1</v>
      </c>
      <c r="EK34" s="4">
        <v>1</v>
      </c>
      <c r="EL34" s="4">
        <v>2</v>
      </c>
      <c r="EM34" s="4">
        <v>2</v>
      </c>
      <c r="EN34" s="4">
        <v>2</v>
      </c>
      <c r="EO34" s="4">
        <v>2</v>
      </c>
      <c r="EP34" s="4">
        <v>2</v>
      </c>
      <c r="EQ34" s="4">
        <v>2</v>
      </c>
      <c r="ER34" s="4">
        <v>2</v>
      </c>
      <c r="ES34" s="4">
        <v>2</v>
      </c>
      <c r="ET34" s="4">
        <v>2</v>
      </c>
      <c r="EU34" s="4">
        <v>3</v>
      </c>
      <c r="EV34" s="4">
        <v>3</v>
      </c>
      <c r="EW34" s="4">
        <v>3</v>
      </c>
      <c r="EX34" s="4">
        <v>3</v>
      </c>
      <c r="EY34" s="4">
        <v>3</v>
      </c>
      <c r="EZ34" s="4">
        <v>4</v>
      </c>
      <c r="FA34" s="4">
        <v>3</v>
      </c>
      <c r="FB34" s="4">
        <v>4</v>
      </c>
      <c r="FC34" s="4">
        <v>4</v>
      </c>
      <c r="FD34" s="4">
        <v>5</v>
      </c>
      <c r="FE34" s="4">
        <v>7</v>
      </c>
      <c r="FF34" s="4">
        <v>7</v>
      </c>
      <c r="FG34" s="4">
        <v>8</v>
      </c>
      <c r="FH34" s="4">
        <v>8</v>
      </c>
      <c r="FI34" s="4">
        <v>8</v>
      </c>
      <c r="FJ34" s="4">
        <v>8</v>
      </c>
      <c r="FK34" s="4">
        <v>8</v>
      </c>
      <c r="FL34" s="4">
        <v>7</v>
      </c>
    </row>
    <row r="35" spans="1:168">
      <c r="A35" s="4" t="s">
        <v>106</v>
      </c>
      <c r="B35" s="4">
        <v>1</v>
      </c>
      <c r="C35" s="4">
        <v>1</v>
      </c>
      <c r="D35" s="4">
        <v>1</v>
      </c>
      <c r="E35" s="4">
        <v>1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2</v>
      </c>
      <c r="P35" s="4">
        <v>2</v>
      </c>
      <c r="Q35" s="4">
        <v>2</v>
      </c>
      <c r="R35" s="4">
        <v>3</v>
      </c>
      <c r="S35" s="4">
        <v>3</v>
      </c>
      <c r="T35" s="4">
        <v>3</v>
      </c>
      <c r="U35" s="4">
        <v>3</v>
      </c>
      <c r="V35" s="4">
        <v>3</v>
      </c>
      <c r="W35" s="4">
        <v>3</v>
      </c>
      <c r="X35" s="4">
        <v>3</v>
      </c>
      <c r="Y35" s="4">
        <v>3</v>
      </c>
      <c r="Z35" s="4">
        <v>2</v>
      </c>
      <c r="AA35" s="4">
        <v>2</v>
      </c>
      <c r="AB35" s="4">
        <v>1</v>
      </c>
      <c r="AC35" s="4">
        <v>1</v>
      </c>
      <c r="AD35" s="4">
        <v>1</v>
      </c>
      <c r="AE35" s="4">
        <v>1</v>
      </c>
      <c r="AF35" s="4">
        <v>1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0</v>
      </c>
      <c r="DZ35" s="4">
        <v>1</v>
      </c>
      <c r="EA35" s="4">
        <v>1</v>
      </c>
      <c r="EB35" s="4">
        <v>1</v>
      </c>
      <c r="EC35" s="4">
        <v>1</v>
      </c>
      <c r="ED35" s="4">
        <v>1</v>
      </c>
      <c r="EE35" s="4">
        <v>1</v>
      </c>
      <c r="EF35" s="4">
        <v>1</v>
      </c>
      <c r="EG35" s="4">
        <v>1</v>
      </c>
      <c r="EH35" s="4">
        <v>1</v>
      </c>
      <c r="EI35" s="4">
        <v>1</v>
      </c>
      <c r="EJ35" s="4">
        <v>1</v>
      </c>
      <c r="EK35" s="4">
        <v>1</v>
      </c>
      <c r="EL35" s="4">
        <v>2</v>
      </c>
      <c r="EM35" s="4">
        <v>2</v>
      </c>
      <c r="EN35" s="4">
        <v>2</v>
      </c>
      <c r="EO35" s="4">
        <v>2</v>
      </c>
      <c r="EP35" s="4">
        <v>2</v>
      </c>
      <c r="EQ35" s="4">
        <v>2</v>
      </c>
      <c r="ER35" s="4">
        <v>2</v>
      </c>
      <c r="ES35" s="4">
        <v>2</v>
      </c>
      <c r="ET35" s="4">
        <v>2</v>
      </c>
      <c r="EU35" s="4">
        <v>3</v>
      </c>
      <c r="EV35" s="4">
        <v>3</v>
      </c>
      <c r="EW35" s="4">
        <v>3</v>
      </c>
      <c r="EX35" s="4">
        <v>3</v>
      </c>
      <c r="EY35" s="4">
        <v>4</v>
      </c>
      <c r="EZ35" s="4">
        <v>4</v>
      </c>
      <c r="FA35" s="4">
        <v>3</v>
      </c>
      <c r="FB35" s="4">
        <v>4</v>
      </c>
      <c r="FC35" s="4">
        <v>4</v>
      </c>
      <c r="FD35" s="4">
        <v>5</v>
      </c>
      <c r="FE35" s="4">
        <v>7</v>
      </c>
      <c r="FF35" s="4">
        <v>7</v>
      </c>
      <c r="FG35" s="4">
        <v>8</v>
      </c>
      <c r="FH35" s="4">
        <v>8</v>
      </c>
      <c r="FI35" s="4">
        <v>8</v>
      </c>
      <c r="FJ35" s="4">
        <v>8</v>
      </c>
      <c r="FK35" s="4">
        <f>FK25+FK34</f>
        <v>8</v>
      </c>
      <c r="FL35" s="4">
        <f>FL25+FL34</f>
        <v>7</v>
      </c>
    </row>
    <row r="36" spans="1:168">
      <c r="A36" s="4" t="s">
        <v>107</v>
      </c>
      <c r="B36" s="4">
        <v>0</v>
      </c>
      <c r="C36" s="4">
        <v>0</v>
      </c>
      <c r="D36" s="4">
        <v>0</v>
      </c>
      <c r="E36" s="4">
        <v>0</v>
      </c>
      <c r="F36" s="4">
        <v>1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1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1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1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1</v>
      </c>
      <c r="FG36" s="4">
        <v>0</v>
      </c>
      <c r="FH36" s="4">
        <f t="shared" ref="FH36" si="491">FH33+FH21</f>
        <v>0</v>
      </c>
      <c r="FI36" s="4">
        <f t="shared" ref="FI36:FK36" si="492">FI33+FI21</f>
        <v>0</v>
      </c>
      <c r="FJ36" s="4">
        <f t="shared" si="492"/>
        <v>0</v>
      </c>
      <c r="FK36" s="4">
        <f t="shared" si="492"/>
        <v>1</v>
      </c>
      <c r="FL36" s="4">
        <f>FL33+FL21</f>
        <v>0</v>
      </c>
    </row>
    <row r="38" spans="1:168">
      <c r="ES38" t="s">
        <v>109</v>
      </c>
    </row>
  </sheetData>
  <sortState ref="A2:HP17">
    <sortCondition descending="1" ref="HM2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全国</vt:lpstr>
      <vt:lpstr>重点省份</vt:lpstr>
      <vt:lpstr>安徽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masakii</dc:creator>
  <cp:lastModifiedBy>admin</cp:lastModifiedBy>
  <dcterms:created xsi:type="dcterms:W3CDTF">2015-06-05T18:19:34Z</dcterms:created>
  <dcterms:modified xsi:type="dcterms:W3CDTF">2021-02-19T03:02:02Z</dcterms:modified>
</cp:coreProperties>
</file>